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D:\Data\Excel\"/>
    </mc:Choice>
  </mc:AlternateContent>
  <xr:revisionPtr revIDLastSave="0" documentId="13_ncr:1_{590FBB4E-886B-490D-A3FE-95EF127CC302}" xr6:coauthVersionLast="47" xr6:coauthVersionMax="47" xr10:uidLastSave="{00000000-0000-0000-0000-000000000000}"/>
  <bookViews>
    <workbookView xWindow="-120" yWindow="-120" windowWidth="20730" windowHeight="11040" activeTab="3" xr2:uid="{26D4546B-D2A1-4444-8EAF-A6228F96F0C1}"/>
  </bookViews>
  <sheets>
    <sheet name="Data" sheetId="2" r:id="rId1"/>
    <sheet name="Pivots" sheetId="6" r:id="rId2"/>
    <sheet name="Assets" sheetId="4" r:id="rId3"/>
    <sheet name="Customer Support Report"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408" r:id="rId8"/>
    <pivotCache cacheId="442" r:id="rId9"/>
    <pivotCache cacheId="445" r:id="rId10"/>
    <pivotCache cacheId="448" r:id="rId11"/>
    <pivotCache cacheId="451" r:id="rId12"/>
    <pivotCache cacheId="454"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2" i="6" l="1"/>
  <c r="E44" i="6" a="1"/>
  <c r="E44"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s="1"/>
  <c r="K95" i="2" a="1"/>
  <c r="K95" i="2"/>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s="1"/>
  <c r="K502" i="2" a="1"/>
  <c r="K502" i="2"/>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s="1"/>
  <c r="K755" i="2" a="1"/>
  <c r="K755" i="2" s="1"/>
  <c r="K756" i="2" a="1"/>
  <c r="K756" i="2" s="1"/>
  <c r="K757" i="2" a="1"/>
  <c r="K757" i="2" s="1"/>
  <c r="K758" i="2" a="1"/>
  <c r="K758" i="2" s="1"/>
  <c r="K759" i="2" a="1"/>
  <c r="K759" i="2"/>
  <c r="K760" i="2" a="1"/>
  <c r="K760" i="2" s="1"/>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6" i="6" l="1"/>
  <c r="I44" i="6"/>
  <c r="I45" i="6"/>
  <c r="I47" i="6"/>
  <c r="I48" i="6"/>
  <c r="I46" i="6"/>
  <c r="H44" i="6"/>
  <c r="H47" i="6"/>
  <c r="H45" i="6"/>
  <c r="H4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B8CF9-80F0-49E5-91DC-B79BC02F81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FD47936-D585-40E4-BE18-AAECB2E8D32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114AC29-06F5-40A5-8B0A-E620F135348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<sst xmlns="http://schemas.openxmlformats.org/spreadsheetml/2006/main" count="3167" uniqueCount="1080">
  <si>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</si>
  <si>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</si>
  <si>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</si>
  <si>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</si>
  <si>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</si>
  <si>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</si>
  <si>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</si>
  <si>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</si>
  <si>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</si>
  <si>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</si>
  <si>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</si>
  <si>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</si>
  <si>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</si>
  <si>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</si>
  <si>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</si>
  <si>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</si>
  <si>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</si>
  <si>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</si>
  <si>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</si>
  <si>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</si>
  <si>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</si>
  <si>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</si>
  <si>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</si>
  <si>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</si>
  <si>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</si>
  <si>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</si>
  <si>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</si>
  <si>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</si>
  <si>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</si>
  <si>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</si>
  <si>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</si>
  <si>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</si>
  <si>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</si>
  <si>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</si>
  <si>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</si>
  <si>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</si>
  <si>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</si>
  <si>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</si>
  <si>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</si>
  <si>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</si>
  <si>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</si>
  <si>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</si>
  <si>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</si>
  <si>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</si>
  <si>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</si>
  <si>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</si>
  <si>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</si>
  <si>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</si>
  <si>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</si>
  <si>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</si>
  <si>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</si>
  <si>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</si>
  <si>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</si>
  <si>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</si>
  <si>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</si>
  <si>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</si>
  <si>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</si>
  <si>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</si>
  <si>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</si>
  <si>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</si>
  <si>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</si>
  <si>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</si>
  <si>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</si>
  <si>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</si>
  <si>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</si>
  <si>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</si>
  <si>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</si>
  <si>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</si>
  <si>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</si>
  <si>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</si>
  <si>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</si>
  <si>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</si>
  <si>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</si>
  <si>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</si>
  <si>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</si>
  <si>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</si>
  <si>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</si>
  <si>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</si>
  <si>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</si>
  <si>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</si>
  <si>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</si>
  <si>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</si>
  <si>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</si>
  <si>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</si>
  <si>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</si>
  <si>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</si>
  <si>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</si>
  <si>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</si>
  <si>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</si>
  <si>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</si>
  <si>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</si>
  <si>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</si>
  <si>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</si>
  <si>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</si>
  <si>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</si>
  <si>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</si>
  <si>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</si>
  <si>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</si>
  <si>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</si>
  <si>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</si>
  <si>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</si>
  <si>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</si>
  <si>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</si>
  <si>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</si>
  <si>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</si>
  <si>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</si>
  <si>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</si>
  <si>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</si>
  <si>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</si>
  <si>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</si>
  <si>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</si>
  <si>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</si>
  <si>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</si>
  <si>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</si>
  <si>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</si>
  <si>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</si>
  <si>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</si>
  <si>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</si>
  <si>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</si>
  <si>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</si>
  <si>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</si>
  <si>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</si>
  <si>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</si>
  <si>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</si>
  <si>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</si>
  <si>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</si>
  <si>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</si>
  <si>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</si>
  <si>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</si>
  <si>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</si>
  <si>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</si>
  <si>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</si>
  <si>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</si>
  <si>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</si>
  <si>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</si>
  <si>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</si>
  <si>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</si>
  <si>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</si>
  <si>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</si>
  <si>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</si>
  <si>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</si>
  <si>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</si>
  <si>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</si>
  <si>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</si>
  <si>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</si>
  <si>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</si>
  <si>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</si>
  <si>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</si>
  <si>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</si>
  <si>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</si>
  <si>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</si>
  <si>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</si>
  <si>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</si>
  <si>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</si>
  <si>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</si>
  <si>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</si>
  <si>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</si>
  <si>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</si>
  <si>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</si>
  <si>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</si>
  <si>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</si>
  <si>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</si>
  <si>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</si>
  <si>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</si>
  <si>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</si>
  <si>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</si>
  <si>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</si>
  <si>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</si>
  <si>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</si>
  <si>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</si>
  <si>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</si>
  <si>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</si>
  <si>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</si>
  <si>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</si>
  <si>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</si>
  <si>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</si>
  <si>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</si>
  <si>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</si>
  <si>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</si>
  <si>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</si>
  <si>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</si>
  <si>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</si>
  <si>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</si>
  <si>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</si>
  <si>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</si>
  <si>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</si>
  <si>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</si>
  <si>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</si>
  <si>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</si>
  <si>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</si>
  <si>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</si>
  <si>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</si>
  <si>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</si>
  <si>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</si>
  <si>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</si>
  <si>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</si>
  <si>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</si>
  <si>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</si>
  <si>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</si>
  <si>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</si>
  <si>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</si>
  <si>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</si>
  <si>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</si>
  <si>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</si>
  <si>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</si>
  <si>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</si>
  <si>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</si>
  <si>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</si>
  <si>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</si>
  <si>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</si>
  <si>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</si>
  <si>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</si>
  <si>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</si>
  <si>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</si>
  <si>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</si>
  <si>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</si>
  <si>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</si>
  <si>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</si>
  <si>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</si>
  <si>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</si>
  <si>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</si>
  <si>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</si>
  <si>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</si>
  <si>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</si>
  <si>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</si>
  <si>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</si>
  <si>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</si>
  <si>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</si>
  <si>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</si>
  <si>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</si>
  <si>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</si>
  <si>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</si>
  <si>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</si>
  <si>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</si>
  <si>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</si>
  <si>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</si>
  <si>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</si>
  <si>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</si>
  <si>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</si>
  <si>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</si>
  <si>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</si>
  <si>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</si>
  <si>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</si>
  <si>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</si>
  <si>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</si>
  <si>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</si>
  <si>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</si>
  <si>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</si>
  <si>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</si>
  <si>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</si>
  <si>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</si>
  <si>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</si>
  <si>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</si>
  <si>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</si>
  <si>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</si>
  <si>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</si>
  <si>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</si>
  <si>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</si>
  <si>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</si>
  <si>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</si>
  <si>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</si>
  <si>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</si>
  <si>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</si>
  <si>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</si>
  <si>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</si>
  <si>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</si>
  <si>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</si>
  <si>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</si>
  <si>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</si>
  <si>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</si>
  <si>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</si>
  <si>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</si>
  <si>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</si>
  <si>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</si>
  <si>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</si>
  <si>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</si>
  <si>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</si>
  <si>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</si>
  <si>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</si>
  <si>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</si>
  <si>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</si>
  <si>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</si>
  <si>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</si>
  <si>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</si>
  <si>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</si>
  <si>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</si>
  <si>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</si>
  <si>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</si>
  <si>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</si>
  <si>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</si>
  <si>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</si>
  <si>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</si>
  <si>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</si>
  <si>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</si>
  <si>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</si>
  <si>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</si>
  <si>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</si>
  <si>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</si>
  <si>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</si>
  <si>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</si>
  <si>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</si>
  <si>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</si>
  <si>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</si>
  <si>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</si>
  <si>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</si>
  <si>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</si>
  <si>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</si>
  <si>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</si>
  <si>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</si>
  <si>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</si>
  <si>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</si>
  <si>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</si>
  <si>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</si>
  <si>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</si>
  <si>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</si>
  <si>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</si>
  <si>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</si>
  <si>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</si>
  <si>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</si>
  <si>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</si>
  <si>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</si>
  <si>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</si>
  <si>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</si>
  <si>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</si>
  <si>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</si>
  <si>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</si>
  <si>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</si>
  <si>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</si>
  <si>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</si>
  <si>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</si>
  <si>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</si>
  <si>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</si>
  <si>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</si>
  <si>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</si>
  <si>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</si>
  <si>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</si>
  <si>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</si>
  <si>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</si>
  <si>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</si>
  <si>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</si>
  <si>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</si>
  <si>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</si>
  <si>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</si>
  <si>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</si>
  <si>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</si>
  <si>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</si>
  <si>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</si>
  <si>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</si>
  <si>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</si>
  <si>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</si>
  <si>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</si>
  <si>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</si>
  <si>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</si>
  <si>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</si>
  <si>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</si>
  <si>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</si>
  <si>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</si>
  <si>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</si>
  <si>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</si>
  <si>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</si>
  <si>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</si>
  <si>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</si>
  <si>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</si>
  <si>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</si>
  <si>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</si>
  <si>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</si>
  <si>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</si>
  <si>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</si>
  <si>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</si>
  <si>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</si>
  <si>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</si>
  <si>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</si>
  <si>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</si>
  <si>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</si>
  <si>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</si>
  <si>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</si>
  <si>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</si>
  <si>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</si>
  <si>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</si>
  <si>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</si>
  <si>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</si>
  <si>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</si>
  <si>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</si>
  <si>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</si>
  <si>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</si>
  <si>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</si>
  <si>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</si>
  <si>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</si>
  <si>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</si>
  <si>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</si>
  <si>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</si>
  <si>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</si>
  <si>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</si>
  <si>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</si>
  <si>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</si>
  <si>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</si>
  <si>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</si>
  <si>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</si>
  <si>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</si>
  <si>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</si>
  <si>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</si>
  <si>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</si>
  <si>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</si>
  <si>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</si>
  <si>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</si>
  <si>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</si>
  <si>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</si>
  <si>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</si>
  <si>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</si>
  <si>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</si>
  <si>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</si>
  <si>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</si>
  <si>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</si>
  <si>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</si>
  <si>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</si>
  <si>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</si>
  <si>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</si>
  <si>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</si>
  <si>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</si>
  <si>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</si>
  <si>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</si>
  <si>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</si>
  <si>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</si>
  <si>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</si>
  <si>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</si>
  <si>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</si>
  <si>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</si>
  <si>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</si>
  <si>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</si>
  <si>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</si>
  <si>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</si>
  <si>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</si>
  <si>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</si>
  <si>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</si>
  <si>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</si>
  <si>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</si>
  <si>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</si>
  <si>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</si>
  <si>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</si>
  <si>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</si>
  <si>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</si>
  <si>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</si>
  <si>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</si>
  <si>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</si>
  <si>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</si>
  <si>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</si>
  <si>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</si>
  <si>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</si>
  <si>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</si>
  <si>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</si>
  <si>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</si>
  <si>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</si>
  <si>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</si>
  <si>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</si>
  <si>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</si>
  <si>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</si>
  <si>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</si>
  <si>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</si>
  <si>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</si>
  <si>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</si>
  <si>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</si>
  <si>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</si>
  <si>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</si>
  <si>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</si>
  <si>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</si>
  <si>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</si>
  <si>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</si>
  <si>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</si>
  <si>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</si>
  <si>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</si>
  <si>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</si>
  <si>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</si>
  <si>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</si>
  <si>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</si>
  <si>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</si>
  <si>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</si>
  <si>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</si>
  <si>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</si>
  <si>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</si>
  <si>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</si>
  <si>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</si>
  <si>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</si>
  <si>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</si>
  <si>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</si>
  <si>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</si>
  <si>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</si>
  <si>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</si>
  <si>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</si>
  <si>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</si>
  <si>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</si>
  <si>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</si>
  <si>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</si>
  <si>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</si>
  <si>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</si>
  <si>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</si>
  <si>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</si>
  <si>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</si>
  <si>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</si>
  <si>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</si>
  <si>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</si>
  <si>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</si>
  <si>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</si>
  <si>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</si>
  <si>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</si>
  <si>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</si>
  <si>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</si>
  <si>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</si>
  <si>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</si>
  <si>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</si>
  <si>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</si>
  <si>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</si>
  <si>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</si>
  <si>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</si>
  <si>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</si>
  <si>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</si>
  <si>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</si>
  <si>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</si>
  <si>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</si>
  <si>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</si>
  <si>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</si>
  <si>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</si>
  <si>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</si>
  <si>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</si>
  <si>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</si>
  <si>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</si>
  <si>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</si>
  <si>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</si>
  <si>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</si>
  <si>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</si>
  <si>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</si>
  <si>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</si>
  <si>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</si>
  <si>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</si>
  <si>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</si>
  <si>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</si>
  <si>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</si>
  <si>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</si>
  <si>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</si>
  <si>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</si>
  <si>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</si>
  <si>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</si>
  <si>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</si>
  <si>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</si>
  <si>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</si>
  <si>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</si>
  <si>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</si>
  <si>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</si>
  <si>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</si>
  <si>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</si>
  <si>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</si>
  <si>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</si>
  <si>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</si>
  <si>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</si>
  <si>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</si>
  <si>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</si>
  <si>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</si>
  <si>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</si>
  <si>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</si>
  <si>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</si>
  <si>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</si>
  <si>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</si>
  <si>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</si>
  <si>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</si>
  <si>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</si>
  <si>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</si>
  <si>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</si>
  <si>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</si>
  <si>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</si>
  <si>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</si>
  <si>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</si>
  <si>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</si>
  <si>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</si>
  <si>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</si>
  <si>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</si>
  <si>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</si>
  <si>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</si>
  <si>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</si>
  <si>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</si>
  <si>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</si>
  <si>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</si>
  <si>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</si>
  <si>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</si>
  <si>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</si>
  <si>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</si>
  <si>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</si>
  <si>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</si>
  <si>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</si>
  <si>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</si>
  <si>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</si>
  <si>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</si>
  <si>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</si>
  <si>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</si>
  <si>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</si>
  <si>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</si>
  <si>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</si>
  <si>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</si>
  <si>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</si>
  <si>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</si>
  <si>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</si>
  <si>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</si>
  <si>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</si>
  <si>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</si>
  <si>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</si>
  <si>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</si>
  <si>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</si>
  <si>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</si>
  <si>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</si>
  <si>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</si>
  <si>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</si>
  <si>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</si>
  <si>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</si>
  <si>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</si>
  <si>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</si>
  <si>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</si>
  <si>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</si>
  <si>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</si>
  <si>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</si>
  <si>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</si>
  <si>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</si>
  <si>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</si>
  <si>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</si>
  <si>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</si>
  <si>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</si>
  <si>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</si>
  <si>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</si>
  <si>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</si>
  <si>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</si>
  <si>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</si>
  <si>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</si>
  <si>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</si>
  <si>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</si>
  <si>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</si>
  <si>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</si>
  <si>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</si>
  <si>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</si>
  <si>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</si>
  <si>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</si>
  <si>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</si>
  <si>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</si>
  <si>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</si>
  <si>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</si>
  <si>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</si>
  <si>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</si>
  <si>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</si>
  <si>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</si>
  <si>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</si>
  <si>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</si>
  <si>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</si>
  <si>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</si>
  <si>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</si>
  <si>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</si>
  <si>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</si>
  <si>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</si>
  <si>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</si>
  <si>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</si>
  <si>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</si>
  <si>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</si>
  <si>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</si>
  <si>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</si>
  <si>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</si>
  <si>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</si>
  <si>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</si>
  <si>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</si>
  <si>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</si>
  <si>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</si>
  <si>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</si>
  <si>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</si>
  <si>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</si>
  <si>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</si>
  <si>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</si>
  <si>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</si>
  <si>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</si>
  <si>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</si>
  <si>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</si>
  <si>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</si>
  <si>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</si>
  <si>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</si>
  <si>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</si>
  <si>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</si>
  <si>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</si>
  <si>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</si>
  <si>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</si>
  <si>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</si>
  <si>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</si>
  <si>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</si>
  <si>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</si>
  <si>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</si>
  <si>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</si>
  <si>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</si>
  <si>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</si>
  <si>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</si>
  <si>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</si>
  <si>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</si>
  <si>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</si>
  <si>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</si>
  <si>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</si>
  <si>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</si>
  <si>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</si>
  <si>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</si>
  <si>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</si>
  <si>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</si>
  <si>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</si>
  <si>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</si>
  <si>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</si>
  <si>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</si>
  <si>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</si>
  <si>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</si>
  <si>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</si>
  <si>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</si>
  <si>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</si>
  <si>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</si>
  <si>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</si>
  <si>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</si>
  <si>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</si>
  <si>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</si>
  <si>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</si>
  <si>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</si>
  <si>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</si>
  <si>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</si>
  <si>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</si>
  <si>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</si>
  <si>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</si>
  <si>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</si>
  <si>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</si>
  <si>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</si>
  <si>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</si>
  <si>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</si>
  <si>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</si>
  <si>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</si>
  <si>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</si>
  <si>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</si>
  <si>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</si>
  <si>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</si>
  <si>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</si>
  <si>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</si>
  <si>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</si>
  <si>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</si>
  <si>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</si>
  <si>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</si>
  <si>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</si>
  <si>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</si>
  <si>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</si>
  <si>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</si>
  <si>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</si>
  <si>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</si>
  <si>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</si>
  <si>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</si>
  <si>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</si>
  <si>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</si>
  <si>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</si>
  <si>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</si>
  <si>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</si>
  <si>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</si>
  <si>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</si>
  <si>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</si>
  <si>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</si>
  <si>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</si>
  <si>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</si>
  <si>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</si>
  <si>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</si>
  <si>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</si>
  <si>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</si>
  <si>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</si>
  <si>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</si>
  <si>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</si>
  <si>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</si>
  <si>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</si>
  <si>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</si>
  <si>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</si>
  <si>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</si>
  <si>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</si>
  <si>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</si>
  <si>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</si>
  <si>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</si>
  <si>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</si>
  <si>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</si>
  <si>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</si>
  <si>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</si>
  <si>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</si>
  <si>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</si>
  <si>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</si>
  <si>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</si>
  <si>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</si>
  <si>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</si>
  <si>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</si>
  <si>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</si>
  <si>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</si>
  <si>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</si>
  <si>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</si>
  <si>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</si>
  <si>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</si>
  <si>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</si>
  <si>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</si>
  <si>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</si>
  <si>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</si>
  <si>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</si>
  <si>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</si>
  <si>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</si>
  <si>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</si>
  <si>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</si>
  <si>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</si>
  <si>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</si>
  <si>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</si>
  <si>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</si>
  <si>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</si>
  <si>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</si>
  <si>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</si>
  <si>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</si>
  <si>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</si>
  <si>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</si>
  <si>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</si>
  <si>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</si>
  <si>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</si>
  <si>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</si>
  <si>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</si>
  <si>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</si>
  <si>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</si>
  <si>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</si>
  <si>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</si>
  <si>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</si>
  <si>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</si>
  <si>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</si>
  <si>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</si>
  <si>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</si>
  <si>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</si>
  <si>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</si>
  <si>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</si>
  <si>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</si>
  <si>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</si>
  <si>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</si>
  <si>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</si>
  <si>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</si>
  <si>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</si>
  <si>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</si>
  <si>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</si>
  <si>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</si>
  <si>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</si>
  <si>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</si>
  <si>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</si>
  <si>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</si>
  <si>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</si>
  <si>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</si>
  <si>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</si>
  <si>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</si>
  <si>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</si>
  <si>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</si>
  <si>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</si>
  <si>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</si>
  <si>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</si>
  <si>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</si>
  <si>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</si>
  <si>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</si>
  <si>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</si>
  <si>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</si>
  <si>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</si>
  <si>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</si>
  <si>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</si>
  <si>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</si>
  <si>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</si>
  <si>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</si>
  <si>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</si>
  <si>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</si>
  <si>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</si>
  <si>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</si>
  <si>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</si>
  <si>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</si>
  <si>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</si>
  <si>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</si>
  <si>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</si>
  <si>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</si>
  <si>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</si>
  <si>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</si>
  <si>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</si>
  <si>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</si>
  <si>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</si>
  <si>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</si>
  <si>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</si>
  <si>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</si>
  <si>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</si>
  <si>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</si>
  <si>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</si>
  <si>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</si>
  <si>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</si>
  <si>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</si>
  <si>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</si>
  <si>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</si>
  <si>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</si>
  <si>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</si>
  <si>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</si>
  <si>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</si>
  <si>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</si>
  <si>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</si>
  <si>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</si>
  <si>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</si>
  <si>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</si>
  <si>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</si>
  <si>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</si>
  <si>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</si>
  <si>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</si>
  <si>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</si>
  <si>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</si>
  <si>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</si>
  <si>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</si>
  <si>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</si>
  <si>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</si>
  <si>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</si>
  <si>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</si>
  <si>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</si>
  <si>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</si>
  <si>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</si>
  <si>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</si>
  <si>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</si>
  <si>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</si>
  <si>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</si>
  <si>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</si>
  <si>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</si>
  <si>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</si>
  <si>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</si>
  <si>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</si>
  <si>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</si>
  <si>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</si>
  <si>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</si>
  <si>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</si>
  <si>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</si>
  <si>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</si>
  <si>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</si>
  <si>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</si>
  <si>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</si>
  <si>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</si>
  <si>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</si>
  <si>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</si>
  <si>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</si>
  <si>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</si>
  <si>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</si>
  <si>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</si>
  <si>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</si>
  <si>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</si>
  <si>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</si>
  <si>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</si>
  <si>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</si>
  <si>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</si>
  <si>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</si>
  <si>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</si>
  <si>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</si>
  <si>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</si>
  <si>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</si>
  <si>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</si>
  <si>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</si>
  <si>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</si>
  <si>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</si>
  <si>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</si>
  <si>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</si>
  <si>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</si>
  <si>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</si>
  <si>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</si>
  <si>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</si>
  <si>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</si>
  <si>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</si>
  <si>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</si>
  <si>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</si>
  <si>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</si>
  <si>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</si>
  <si>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</si>
  <si>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</si>
  <si>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</si>
  <si>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</si>
  <si>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</si>
  <si>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</si>
  <si>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</si>
  <si>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</si>
  <si>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</si>
  <si>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</si>
  <si>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</si>
  <si>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</si>
  <si>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</si>
  <si>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</si>
  <si>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</si>
  <si>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</si>
  <si>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</si>
  <si>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</si>
  <si>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</si>
  <si>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</si>
  <si>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</si>
  <si>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</si>
  <si>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</si>
  <si>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</si>
  <si>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</si>
  <si>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</si>
  <si>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</si>
  <si>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</si>
  <si>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</si>
  <si>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</si>
  <si>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</si>
  <si>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</si>
  <si>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</si>
  <si>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</si>
  <si>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</si>
  <si>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</si>
  <si>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</si>
  <si>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</si>
  <si>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</si>
  <si>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</si>
  <si>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</si>
  <si>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</si>
  <si>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</si>
  <si>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</si>
  <si>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</si>
  <si>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</si>
  <si>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</si>
  <si>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</si>
  <si>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</si>
  <si>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</si>
  <si>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</si>
  <si>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</si>
  <si>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</si>
  <si>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</si>
  <si>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</si>
  <si>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</si>
  <si>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</si>
  <si>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</si>
  <si>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</si>
  <si>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</si>
  <si>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</si>
  <si>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</si>
  <si>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</si>
  <si>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</si>
  <si>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</si>
  <si>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</si>
  <si>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</si>
  <si>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</si>
  <si>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</si>
  <si>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</si>
  <si>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</si>
  <si>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</si>
  <si>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</si>
  <si>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</si>
  <si>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</si>
  <si>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</si>
  <si>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</si>
  <si>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</si>
  <si>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</si>
  <si>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Amount</t>
  </si>
  <si>
    <t>Call Count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</si>
  <si>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</si>
  <si>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</si>
  <si>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</si>
  <si>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</si>
  <si>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</si>
  <si>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</si>
  <si>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</si>
  <si>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</si>
  <si>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</si>
  <si>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</si>
  <si>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</si>
  <si>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</si>
  <si>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</si>
  <si>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</si>
  <si>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</si>
  <si>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</si>
  <si>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</si>
  <si>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</si>
  <si>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</si>
  <si>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</si>
  <si>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</si>
  <si>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</si>
  <si>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</si>
  <si>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</si>
  <si>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</si>
  <si>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Two different graph from 1 pivot table</t>
  </si>
  <si>
    <t>Reps</t>
  </si>
  <si>
    <t>Calls</t>
  </si>
  <si>
    <t>Amount</t>
  </si>
  <si>
    <t>Sel. Calls</t>
  </si>
  <si>
    <t>Sel. Amount</t>
  </si>
  <si>
    <t>Here only those value will come which rep is selected in slicer</t>
  </si>
  <si>
    <t>Selected Rep</t>
  </si>
  <si>
    <t>Gender</t>
  </si>
  <si>
    <t>Column Labels</t>
  </si>
  <si>
    <t>Column1</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</si>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</sst>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name val="Aptos"/>
      <family val="2"/>
      <scheme val="minor"/>
    </font>
    <font>
      <b/>
      <sz val="24"/>
      <color theme="9"/>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4" fillId="4" borderId="0" xfId="0" applyFont="1" applyFill="1" applyAlignment="1">
      <alignment horizontal="left"/>
    </xf>
    <xf numFmtId="0" fontId="0" fillId="4" borderId="0" xfId="0" applyFill="1" applyAlignment="1">
      <alignment horizontal="center"/>
    </xf>
    <xf numFmtId="0" fontId="0" fillId="0" borderId="0" xfId="0" applyNumberFormat="1"/>
    <xf numFmtId="0" fontId="0" fillId="0" borderId="0" xfId="0" applyAlignment="1">
      <alignment horizontal="left" indent="1"/>
    </xf>
    <xf numFmtId="0" fontId="5" fillId="5" borderId="0" xfId="0" applyFont="1" applyFill="1" applyAlignment="1">
      <alignment horizontal="center" vertical="center"/>
    </xf>
  </cellXfs>
  <cellStyles count="1">
    <cellStyle name="Normal" xfId="0" builtinId="0"/>
  </cellStyles>
  <dxfs count="28">
    <dxf>
      <font>
        <color auto="1"/>
      </font>
    </dxf>
    <dxf>
      <fill>
        <patternFill patternType="solid">
          <bgColor rgb="FFFFFF00"/>
        </patternFill>
      </fill>
    </dxf>
    <dxf>
      <font>
        <color auto="1"/>
      </font>
    </dxf>
    <dxf>
      <fill>
        <patternFill patternType="solid">
          <bgColor rgb="FFFFFF00"/>
        </patternFill>
      </fill>
    </dxf>
    <dxf>
      <font>
        <color auto="1"/>
      </font>
    </dxf>
    <dxf>
      <fill>
        <patternFill patternType="solid">
          <bgColor rgb="FFFFFF00"/>
        </patternFill>
      </fill>
    </dxf>
    <dxf>
      <font>
        <color auto="1"/>
      </font>
    </dxf>
    <dxf>
      <fill>
        <patternFill patternType="solid">
          <bgColor rgb="FFFFFF00"/>
        </patternFill>
      </fill>
    </dxf>
    <dxf>
      <font>
        <color auto="1"/>
      </font>
    </dxf>
    <dxf>
      <fill>
        <patternFill patternType="solid">
          <bgColor rgb="FFFFFF00"/>
        </patternFill>
      </fil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7"/>
    </tableStyle>
    <tableStyle name="SlicerStyleDark5 2" pivot="0" table="0" count="10" xr9:uid="{6C17303E-D664-4BC8-B8D4-E957AB8EBFD9}">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Pivots!$H$22</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Pivots!$G$23:$G$30</c:f>
              <c:strCache>
                <c:ptCount val="7"/>
                <c:pt idx="0">
                  <c:v>Sunday</c:v>
                </c:pt>
                <c:pt idx="1">
                  <c:v>Monday</c:v>
                </c:pt>
                <c:pt idx="2">
                  <c:v>Tuesday</c:v>
                </c:pt>
                <c:pt idx="3">
                  <c:v>Wednesday</c:v>
                </c:pt>
                <c:pt idx="4">
                  <c:v>Thursday</c:v>
                </c:pt>
                <c:pt idx="5">
                  <c:v>Friday</c:v>
                </c:pt>
                <c:pt idx="6">
                  <c:v>Saturday</c:v>
                </c:pt>
              </c:strCache>
            </c:strRef>
          </c:cat>
          <c:val>
            <c:numRef>
              <c:f>Pivots!$H$23:$H$30</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8412-4E74-B991-FBE81B9564E7}"/>
            </c:ext>
          </c:extLst>
        </c:ser>
        <c:dLbls>
          <c:dLblPos val="outEnd"/>
          <c:showLegendKey val="0"/>
          <c:showVal val="1"/>
          <c:showCatName val="0"/>
          <c:showSerName val="0"/>
          <c:showPercent val="0"/>
          <c:showBubbleSize val="0"/>
        </c:dLbls>
        <c:gapWidth val="25"/>
        <c:axId val="1714375712"/>
        <c:axId val="1772625728"/>
      </c:barChart>
      <c:catAx>
        <c:axId val="1714375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625728"/>
        <c:crosses val="autoZero"/>
        <c:auto val="1"/>
        <c:lblAlgn val="ctr"/>
        <c:lblOffset val="100"/>
        <c:noMultiLvlLbl val="0"/>
      </c:catAx>
      <c:valAx>
        <c:axId val="1772625728"/>
        <c:scaling>
          <c:orientation val="minMax"/>
        </c:scaling>
        <c:delete val="1"/>
        <c:axPos val="t"/>
        <c:numFmt formatCode="#,##0" sourceLinked="1"/>
        <c:majorTickMark val="out"/>
        <c:minorTickMark val="none"/>
        <c:tickLblPos val="nextTo"/>
        <c:crossAx val="17143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lumMod val="75000"/>
                  </a:schemeClr>
                </a:solidFill>
                <a:latin typeface="+mj-lt"/>
              </a:rPr>
              <a:t>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alpha val="50000"/>
                </a:schemeClr>
              </a:gs>
              <a:gs pos="100000">
                <a:schemeClr val="accent6"/>
              </a:gs>
            </a:gsLst>
            <a:lin ang="16200000" scaled="1"/>
          </a:gradFill>
          <a:ln>
            <a:gradFill flip="none" rotWithShape="1">
              <a:gsLst>
                <a:gs pos="0">
                  <a:schemeClr val="accent6">
                    <a:lumMod val="60000"/>
                    <a:lumOff val="40000"/>
                    <a:alpha val="50000"/>
                  </a:schemeClr>
                </a:gs>
                <a:gs pos="100000">
                  <a:schemeClr val="accent6"/>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Pivots!$C$22</c:f>
              <c:strCache>
                <c:ptCount val="1"/>
                <c:pt idx="0">
                  <c:v>Call Count2</c:v>
                </c:pt>
              </c:strCache>
            </c:strRef>
          </c:tx>
          <c:spPr>
            <a:gradFill>
              <a:gsLst>
                <a:gs pos="0">
                  <a:schemeClr val="accent6">
                    <a:lumMod val="60000"/>
                    <a:lumOff val="40000"/>
                    <a:alpha val="50000"/>
                  </a:schemeClr>
                </a:gs>
                <a:gs pos="100000">
                  <a:schemeClr val="accent6"/>
                </a:gs>
              </a:gsLst>
              <a:lin ang="16200000" scaled="1"/>
            </a:gradFill>
            <a:ln>
              <a:gradFill flip="none" rotWithShape="1">
                <a:gsLst>
                  <a:gs pos="0">
                    <a:schemeClr val="accent6">
                      <a:lumMod val="60000"/>
                      <a:lumOff val="40000"/>
                      <a:alpha val="50000"/>
                    </a:schemeClr>
                  </a:gs>
                  <a:gs pos="100000">
                    <a:schemeClr val="accent6"/>
                  </a:gs>
                </a:gsLst>
                <a:lin ang="16200000" scaled="1"/>
                <a:tileRect/>
              </a:gradFill>
            </a:ln>
            <a:effectLst/>
          </c:spP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Pivots!$C$23:$C$35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B65B-40A0-AC05-86B7B77BDC46}"/>
            </c:ext>
          </c:extLst>
        </c:ser>
        <c:dLbls>
          <c:showLegendKey val="0"/>
          <c:showVal val="0"/>
          <c:showCatName val="0"/>
          <c:showSerName val="0"/>
          <c:showPercent val="0"/>
          <c:showBubbleSize val="0"/>
        </c:dLbls>
        <c:axId val="2008324559"/>
        <c:axId val="2006573311"/>
      </c:areaChart>
      <c:lineChart>
        <c:grouping val="standard"/>
        <c:varyColors val="0"/>
        <c:ser>
          <c:idx val="0"/>
          <c:order val="0"/>
          <c:tx>
            <c:strRef>
              <c:f>Pivots!$B$22</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65000"/>
                    <a:lumOff val="35000"/>
                  </a:schemeClr>
                </a:solidFill>
              </a:ln>
              <a:effectLst/>
            </c:spPr>
          </c:marker>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B65B-40A0-AC05-86B7B77BDC46}"/>
            </c:ext>
          </c:extLst>
        </c:ser>
        <c:dLbls>
          <c:showLegendKey val="0"/>
          <c:showVal val="0"/>
          <c:showCatName val="0"/>
          <c:showSerName val="0"/>
          <c:showPercent val="0"/>
          <c:showBubbleSize val="0"/>
        </c:dLbls>
        <c:marker val="1"/>
        <c:smooth val="0"/>
        <c:axId val="2008324559"/>
        <c:axId val="2006573311"/>
      </c:lineChart>
      <c:catAx>
        <c:axId val="20083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573311"/>
        <c:crosses val="autoZero"/>
        <c:auto val="1"/>
        <c:lblAlgn val="ctr"/>
        <c:lblOffset val="100"/>
        <c:noMultiLvlLbl val="0"/>
      </c:catAx>
      <c:valAx>
        <c:axId val="2006573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2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latin typeface="+mj-lt"/>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Pivots!$E$44:$E$48</c:f>
              <c:strCache>
                <c:ptCount val="5"/>
                <c:pt idx="0">
                  <c:v>R01</c:v>
                </c:pt>
                <c:pt idx="1">
                  <c:v>R02</c:v>
                </c:pt>
                <c:pt idx="2">
                  <c:v>R03</c:v>
                </c:pt>
                <c:pt idx="3">
                  <c:v>R04</c:v>
                </c:pt>
                <c:pt idx="4">
                  <c:v>R05</c:v>
                </c:pt>
              </c:strCache>
            </c:strRef>
          </c:cat>
          <c:val>
            <c:numRef>
              <c:f>Pivots!$G$44:$G$48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F73-4DFA-AC4A-54AEC1DB2EE8}"/>
            </c:ext>
          </c:extLst>
        </c:ser>
        <c:ser>
          <c:idx val="1"/>
          <c:order val="1"/>
          <c:tx>
            <c:strRef>
              <c:f>Pivots!$I$43</c:f>
              <c:strCache>
                <c:ptCount val="1"/>
                <c:pt idx="0">
                  <c:v>Sel. Amount</c:v>
                </c:pt>
              </c:strCache>
            </c:strRef>
          </c:tx>
          <c:spPr>
            <a:gradFill>
              <a:gsLst>
                <a:gs pos="0">
                  <a:schemeClr val="accent6">
                    <a:lumMod val="40000"/>
                    <a:lumOff val="60000"/>
                  </a:schemeClr>
                </a:gs>
                <a:gs pos="100000">
                  <a:schemeClr val="accent6">
                    <a:lumMod val="75000"/>
                  </a:schemeClr>
                </a:gs>
              </a:gsLst>
              <a:lin ang="0" scaled="1"/>
            </a:gradFill>
            <a:ln>
              <a:noFill/>
            </a:ln>
            <a:effectLst/>
          </c:spPr>
          <c:invertIfNegative val="0"/>
          <c:dLbls>
            <c:delete val="1"/>
          </c:dLbls>
          <c:val>
            <c:numRef>
              <c:f>Pivots!$I$44:$I$48</c:f>
              <c:numCache>
                <c:formatCode>\$#,###.0,"k"</c:formatCode>
                <c:ptCount val="5"/>
                <c:pt idx="0">
                  <c:v>#N/A</c:v>
                </c:pt>
                <c:pt idx="1">
                  <c:v>#N/A</c:v>
                </c:pt>
                <c:pt idx="2">
                  <c:v>20872</c:v>
                </c:pt>
                <c:pt idx="3">
                  <c:v>#N/A</c:v>
                </c:pt>
                <c:pt idx="4">
                  <c:v>#N/A</c:v>
                </c:pt>
              </c:numCache>
            </c:numRef>
          </c:val>
          <c:extLst>
            <c:ext xmlns:c16="http://schemas.microsoft.com/office/drawing/2014/chart" uri="{C3380CC4-5D6E-409C-BE32-E72D297353CC}">
              <c16:uniqueId val="{00000001-1F73-4DFA-AC4A-54AEC1DB2EE8}"/>
            </c:ext>
          </c:extLst>
        </c:ser>
        <c:dLbls>
          <c:dLblPos val="outEnd"/>
          <c:showLegendKey val="0"/>
          <c:showVal val="1"/>
          <c:showCatName val="0"/>
          <c:showSerName val="0"/>
          <c:showPercent val="0"/>
          <c:showBubbleSize val="0"/>
        </c:dLbls>
        <c:gapWidth val="25"/>
        <c:overlap val="100"/>
        <c:axId val="1965443536"/>
        <c:axId val="1772623328"/>
      </c:barChart>
      <c:catAx>
        <c:axId val="1965443536"/>
        <c:scaling>
          <c:orientation val="maxMin"/>
        </c:scaling>
        <c:delete val="1"/>
        <c:axPos val="l"/>
        <c:numFmt formatCode="General" sourceLinked="1"/>
        <c:majorTickMark val="out"/>
        <c:minorTickMark val="none"/>
        <c:tickLblPos val="nextTo"/>
        <c:crossAx val="1772623328"/>
        <c:crosses val="autoZero"/>
        <c:auto val="1"/>
        <c:lblAlgn val="ctr"/>
        <c:lblOffset val="100"/>
        <c:noMultiLvlLbl val="0"/>
      </c:catAx>
      <c:valAx>
        <c:axId val="1772623328"/>
        <c:scaling>
          <c:orientation val="minMax"/>
        </c:scaling>
        <c:delete val="1"/>
        <c:axPos val="t"/>
        <c:numFmt formatCode="\$#,###.0,&quot;k&quot;" sourceLinked="1"/>
        <c:majorTickMark val="none"/>
        <c:minorTickMark val="none"/>
        <c:tickLblPos val="nextTo"/>
        <c:crossAx val="196544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a:solidFill>
                  <a:schemeClr val="accent5">
                    <a:lumMod val="75000"/>
                  </a:schemeClr>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Pivots!$E$44:$E$48</c:f>
              <c:strCache>
                <c:ptCount val="5"/>
                <c:pt idx="0">
                  <c:v>R01</c:v>
                </c:pt>
                <c:pt idx="1">
                  <c:v>R02</c:v>
                </c:pt>
                <c:pt idx="2">
                  <c:v>R03</c:v>
                </c:pt>
                <c:pt idx="3">
                  <c:v>R04</c:v>
                </c:pt>
                <c:pt idx="4">
                  <c:v>R05</c:v>
                </c:pt>
              </c:strCache>
            </c:strRef>
          </c:cat>
          <c:val>
            <c:numRef>
              <c:f>Pivots!$F$44:$F$48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C6C-481C-BCA8-0D7F7CDDDFBB}"/>
            </c:ext>
          </c:extLst>
        </c:ser>
        <c:ser>
          <c:idx val="1"/>
          <c:order val="1"/>
          <c:tx>
            <c:strRef>
              <c:f>Pivots!$H$43</c:f>
              <c:strCache>
                <c:ptCount val="1"/>
                <c:pt idx="0">
                  <c:v>Sel. Calls</c:v>
                </c:pt>
              </c:strCache>
            </c:strRef>
          </c:tx>
          <c:spPr>
            <a:gradFill flip="none" rotWithShape="1">
              <a:gsLst>
                <a:gs pos="0">
                  <a:schemeClr val="accent5">
                    <a:lumMod val="40000"/>
                    <a:lumOff val="60000"/>
                  </a:schemeClr>
                </a:gs>
                <a:gs pos="100000">
                  <a:schemeClr val="accent5"/>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Pivots!$H$44:$H$48</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0C6C-481C-BCA8-0D7F7CDDDFBB}"/>
            </c:ext>
          </c:extLst>
        </c:ser>
        <c:dLbls>
          <c:dLblPos val="outEnd"/>
          <c:showLegendKey val="0"/>
          <c:showVal val="1"/>
          <c:showCatName val="0"/>
          <c:showSerName val="0"/>
          <c:showPercent val="0"/>
          <c:showBubbleSize val="0"/>
        </c:dLbls>
        <c:gapWidth val="25"/>
        <c:overlap val="100"/>
        <c:axId val="1965443536"/>
        <c:axId val="1772623328"/>
      </c:barChart>
      <c:catAx>
        <c:axId val="196544353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623328"/>
        <c:crosses val="autoZero"/>
        <c:auto val="1"/>
        <c:lblAlgn val="ctr"/>
        <c:lblOffset val="100"/>
        <c:noMultiLvlLbl val="0"/>
      </c:catAx>
      <c:valAx>
        <c:axId val="1772623328"/>
        <c:scaling>
          <c:orientation val="minMax"/>
        </c:scaling>
        <c:delete val="1"/>
        <c:axPos val="t"/>
        <c:numFmt formatCode="General" sourceLinked="1"/>
        <c:majorTickMark val="none"/>
        <c:minorTickMark val="none"/>
        <c:tickLblPos val="nextTo"/>
        <c:crossAx val="196544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latin typeface="+mj-lt"/>
              </a:rPr>
              <a:t>Female</a:t>
            </a:r>
            <a:r>
              <a:rPr lang="en-US">
                <a:latin typeface="+mj-lt"/>
              </a:rPr>
              <a:t> vs.</a:t>
            </a:r>
            <a:r>
              <a:rPr lang="en-US">
                <a:solidFill>
                  <a:schemeClr val="accent4"/>
                </a:solidFill>
                <a:latin typeface="+mj-lt"/>
              </a:rPr>
              <a:t>Male</a:t>
            </a:r>
            <a:r>
              <a:rPr lang="en-US">
                <a:latin typeface="+mj-lt"/>
              </a:rPr>
              <a:t> Caller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Pivots!$B$62:$B$63</c:f>
              <c:strCache>
                <c:ptCount val="1"/>
                <c:pt idx="0">
                  <c:v>Female</c:v>
                </c:pt>
              </c:strCache>
            </c:strRef>
          </c:tx>
          <c:spPr>
            <a:solidFill>
              <a:schemeClr val="accent5"/>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Pivots!$B$64:$B$67</c:f>
              <c:numCache>
                <c:formatCode>#,##0</c:formatCode>
                <c:ptCount val="3"/>
                <c:pt idx="0">
                  <c:v>144</c:v>
                </c:pt>
                <c:pt idx="1">
                  <c:v>326</c:v>
                </c:pt>
                <c:pt idx="2">
                  <c:v>129</c:v>
                </c:pt>
              </c:numCache>
            </c:numRef>
          </c:val>
          <c:extLst>
            <c:ext xmlns:c16="http://schemas.microsoft.com/office/drawing/2014/chart" uri="{C3380CC4-5D6E-409C-BE32-E72D297353CC}">
              <c16:uniqueId val="{00000000-5D4D-43C2-8D0C-792868B4699A}"/>
            </c:ext>
          </c:extLst>
        </c:ser>
        <c:ser>
          <c:idx val="1"/>
          <c:order val="1"/>
          <c:tx>
            <c:strRef>
              <c:f>Pivots!$C$62:$C$63</c:f>
              <c:strCache>
                <c:ptCount val="1"/>
                <c:pt idx="0">
                  <c:v>Male</c:v>
                </c:pt>
              </c:strCache>
            </c:strRef>
          </c:tx>
          <c:spPr>
            <a:solidFill>
              <a:schemeClr val="accent4"/>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Pivots!$A$64:$A$67</c:f>
              <c:strCache>
                <c:ptCount val="3"/>
                <c:pt idx="0">
                  <c:v>Cincinnati</c:v>
                </c:pt>
                <c:pt idx="1">
                  <c:v>Cleveland</c:v>
                </c:pt>
                <c:pt idx="2">
                  <c:v>Columbus</c:v>
                </c:pt>
              </c:strCache>
            </c:strRef>
          </c:cat>
          <c:val>
            <c:numRef>
              <c:f>Pivots!$C$64:$C$67</c:f>
              <c:numCache>
                <c:formatCode>#,##0</c:formatCode>
                <c:ptCount val="3"/>
                <c:pt idx="0">
                  <c:v>132</c:v>
                </c:pt>
                <c:pt idx="1">
                  <c:v>63</c:v>
                </c:pt>
                <c:pt idx="2">
                  <c:v>206</c:v>
                </c:pt>
              </c:numCache>
            </c:numRef>
          </c:val>
          <c:extLst>
            <c:ext xmlns:c16="http://schemas.microsoft.com/office/drawing/2014/chart" uri="{C3380CC4-5D6E-409C-BE32-E72D297353CC}">
              <c16:uniqueId val="{00000001-5D4D-43C2-8D0C-792868B4699A}"/>
            </c:ext>
          </c:extLst>
        </c:ser>
        <c:dLbls>
          <c:dLblPos val="ctr"/>
          <c:showLegendKey val="0"/>
          <c:showVal val="1"/>
          <c:showCatName val="0"/>
          <c:showSerName val="0"/>
          <c:showPercent val="0"/>
          <c:showBubbleSize val="0"/>
        </c:dLbls>
        <c:gapWidth val="25"/>
        <c:overlap val="100"/>
        <c:axId val="1965833392"/>
        <c:axId val="1864173984"/>
      </c:barChart>
      <c:catAx>
        <c:axId val="1965833392"/>
        <c:scaling>
          <c:orientation val="minMax"/>
        </c:scaling>
        <c:delete val="1"/>
        <c:axPos val="b"/>
        <c:numFmt formatCode="General" sourceLinked="1"/>
        <c:majorTickMark val="out"/>
        <c:minorTickMark val="none"/>
        <c:tickLblPos val="nextTo"/>
        <c:crossAx val="1864173984"/>
        <c:crosses val="autoZero"/>
        <c:auto val="1"/>
        <c:lblAlgn val="ctr"/>
        <c:lblOffset val="100"/>
        <c:noMultiLvlLbl val="0"/>
      </c:catAx>
      <c:valAx>
        <c:axId val="1864173984"/>
        <c:scaling>
          <c:orientation val="minMax"/>
        </c:scaling>
        <c:delete val="1"/>
        <c:axPos val="l"/>
        <c:numFmt formatCode="0%" sourceLinked="1"/>
        <c:majorTickMark val="out"/>
        <c:minorTickMark val="none"/>
        <c:tickLblPos val="nextTo"/>
        <c:crossAx val="196583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satsisfaction</c:name>
    <c:fmtId val="9"/>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Pivots!$B$72</c:f>
              <c:strCache>
                <c:ptCount val="1"/>
                <c:pt idx="0">
                  <c:v>Total</c:v>
                </c:pt>
              </c:strCache>
            </c:strRef>
          </c:tx>
          <c:spPr>
            <a:solidFill>
              <a:schemeClr val="accent1"/>
            </a:solidFill>
            <a:ln>
              <a:noFill/>
            </a:ln>
            <a:effectLst/>
          </c:spPr>
          <c:invertIfNegative val="0"/>
          <c:cat>
            <c:strRef>
              <c:f>Pivots!$A$73:$A$79</c:f>
              <c:strCache>
                <c:ptCount val="6"/>
                <c:pt idx="0">
                  <c:v>0</c:v>
                </c:pt>
                <c:pt idx="1">
                  <c:v>1</c:v>
                </c:pt>
                <c:pt idx="2">
                  <c:v>2</c:v>
                </c:pt>
                <c:pt idx="3">
                  <c:v>3</c:v>
                </c:pt>
                <c:pt idx="4">
                  <c:v>4</c:v>
                </c:pt>
                <c:pt idx="5">
                  <c:v>5</c:v>
                </c:pt>
              </c:strCache>
            </c:strRef>
          </c:cat>
          <c:val>
            <c:numRef>
              <c:f>Pivots!$B$73:$B$79</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7889-40C8-AF24-CB61F018161A}"/>
            </c:ext>
          </c:extLst>
        </c:ser>
        <c:dLbls>
          <c:showLegendKey val="0"/>
          <c:showVal val="0"/>
          <c:showCatName val="0"/>
          <c:showSerName val="0"/>
          <c:showPercent val="0"/>
          <c:showBubbleSize val="0"/>
        </c:dLbls>
        <c:gapWidth val="10"/>
        <c:overlap val="-27"/>
        <c:axId val="1728200847"/>
        <c:axId val="1070935135"/>
      </c:barChart>
      <c:catAx>
        <c:axId val="172820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35135"/>
        <c:crosses val="autoZero"/>
        <c:auto val="1"/>
        <c:lblAlgn val="ctr"/>
        <c:lblOffset val="100"/>
        <c:noMultiLvlLbl val="0"/>
      </c:catAx>
      <c:valAx>
        <c:axId val="1070935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0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xdr:colOff>
      <xdr:row>2</xdr:row>
      <xdr:rowOff>0</xdr:rowOff>
    </xdr:from>
    <xdr:to>
      <xdr:col>3</xdr:col>
      <xdr:colOff>403724</xdr:colOff>
      <xdr:row>6</xdr:row>
      <xdr:rowOff>47625</xdr:rowOff>
    </xdr:to>
    <xdr:sp macro="" textlink="Pivots!A4">
      <xdr:nvSpPr>
        <xdr:cNvPr id="2" name="Rectangle 1">
          <a:extLst>
            <a:ext uri="{FF2B5EF4-FFF2-40B4-BE49-F238E27FC236}">
              <a16:creationId xmlns:a16="http://schemas.microsoft.com/office/drawing/2014/main" id="{A86DCF67-8643-4657-B8C7-962F8F92B44C}"/>
            </a:ext>
          </a:extLst>
        </xdr:cNvPr>
        <xdr:cNvSpPr/>
      </xdr:nvSpPr>
      <xdr:spPr>
        <a:xfrm>
          <a:off x="664844" y="381000"/>
          <a:ext cx="1080000" cy="8096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E3F834-3D47-482E-87FA-FBC1D13FE702}" type="TxLink">
            <a:rPr lang="en-US" sz="2000" b="0" i="0" u="none" strike="noStrike">
              <a:solidFill>
                <a:schemeClr val="bg1"/>
              </a:solidFill>
              <a:latin typeface="+mj-lt"/>
            </a:rPr>
            <a:pPr algn="ctr"/>
            <a:t>1,000</a:t>
          </a:fld>
          <a:endParaRPr lang="en-US" sz="2000">
            <a:solidFill>
              <a:schemeClr val="bg1"/>
            </a:solidFill>
            <a:latin typeface="+mj-lt"/>
          </a:endParaRPr>
        </a:p>
      </xdr:txBody>
    </xdr:sp>
    <xdr:clientData/>
  </xdr:twoCellAnchor>
  <xdr:twoCellAnchor>
    <xdr:from>
      <xdr:col>2</xdr:col>
      <xdr:colOff>9524</xdr:colOff>
      <xdr:row>2</xdr:row>
      <xdr:rowOff>19050</xdr:rowOff>
    </xdr:from>
    <xdr:to>
      <xdr:col>3</xdr:col>
      <xdr:colOff>403724</xdr:colOff>
      <xdr:row>3</xdr:row>
      <xdr:rowOff>85725</xdr:rowOff>
    </xdr:to>
    <xdr:sp macro="" textlink="">
      <xdr:nvSpPr>
        <xdr:cNvPr id="3" name="TextBox 2">
          <a:extLst>
            <a:ext uri="{FF2B5EF4-FFF2-40B4-BE49-F238E27FC236}">
              <a16:creationId xmlns:a16="http://schemas.microsoft.com/office/drawing/2014/main" id="{73E298F0-FFC1-8C6C-DA1F-F4BE42BF2F53}"/>
            </a:ext>
          </a:extLst>
        </xdr:cNvPr>
        <xdr:cNvSpPr txBox="1"/>
      </xdr:nvSpPr>
      <xdr:spPr>
        <a:xfrm>
          <a:off x="664844" y="400050"/>
          <a:ext cx="1080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Calls</a:t>
          </a:r>
        </a:p>
        <a:p>
          <a:endParaRPr lang="en-IN" sz="1100"/>
        </a:p>
      </xdr:txBody>
    </xdr:sp>
    <xdr:clientData/>
  </xdr:twoCellAnchor>
  <xdr:twoCellAnchor editAs="oneCell">
    <xdr:from>
      <xdr:col>2</xdr:col>
      <xdr:colOff>76082</xdr:colOff>
      <xdr:row>2</xdr:row>
      <xdr:rowOff>48202</xdr:rowOff>
    </xdr:from>
    <xdr:to>
      <xdr:col>2</xdr:col>
      <xdr:colOff>267048</xdr:colOff>
      <xdr:row>3</xdr:row>
      <xdr:rowOff>26367</xdr:rowOff>
    </xdr:to>
    <xdr:pic>
      <xdr:nvPicPr>
        <xdr:cNvPr id="4" name="Graphic 3" descr="Receiver with solid fill">
          <a:extLst>
            <a:ext uri="{FF2B5EF4-FFF2-40B4-BE49-F238E27FC236}">
              <a16:creationId xmlns:a16="http://schemas.microsoft.com/office/drawing/2014/main" id="{586ECEC1-F8E3-4923-8002-0A1A7A487E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694971">
          <a:off x="731402" y="429202"/>
          <a:ext cx="212445" cy="219382"/>
        </a:xfrm>
        <a:prstGeom prst="rect">
          <a:avLst/>
        </a:prstGeom>
      </xdr:spPr>
    </xdr:pic>
    <xdr:clientData/>
  </xdr:twoCellAnchor>
  <xdr:twoCellAnchor>
    <xdr:from>
      <xdr:col>2</xdr:col>
      <xdr:colOff>3810</xdr:colOff>
      <xdr:row>4</xdr:row>
      <xdr:rowOff>150495</xdr:rowOff>
    </xdr:from>
    <xdr:to>
      <xdr:col>3</xdr:col>
      <xdr:colOff>398010</xdr:colOff>
      <xdr:row>6</xdr:row>
      <xdr:rowOff>2857</xdr:rowOff>
    </xdr:to>
    <xdr:sp macro="" textlink="Pivots!A12">
      <xdr:nvSpPr>
        <xdr:cNvPr id="5" name="TextBox 4">
          <a:extLst>
            <a:ext uri="{FF2B5EF4-FFF2-40B4-BE49-F238E27FC236}">
              <a16:creationId xmlns:a16="http://schemas.microsoft.com/office/drawing/2014/main" id="{8EC692A7-B766-72C3-B1C0-AB648047978C}"/>
            </a:ext>
          </a:extLst>
        </xdr:cNvPr>
        <xdr:cNvSpPr txBox="1"/>
      </xdr:nvSpPr>
      <xdr:spPr>
        <a:xfrm>
          <a:off x="659130" y="912495"/>
          <a:ext cx="10800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4B1BB-2CA4-486B-8CA0-C4404AF5BFD2}" type="TxLink">
            <a:rPr lang="en-US" sz="1100" b="0" i="0" u="none" strike="noStrike">
              <a:solidFill>
                <a:schemeClr val="bg1">
                  <a:lumMod val="75000"/>
                </a:schemeClr>
              </a:solidFill>
              <a:latin typeface="+mj-lt"/>
            </a:rPr>
            <a:pPr algn="ctr"/>
            <a:t>207</a:t>
          </a:fld>
          <a:endParaRPr lang="en-IN" sz="1100">
            <a:solidFill>
              <a:schemeClr val="bg1">
                <a:lumMod val="75000"/>
              </a:schemeClr>
            </a:solidFill>
            <a:latin typeface="+mj-lt"/>
          </a:endParaRPr>
        </a:p>
      </xdr:txBody>
    </xdr:sp>
    <xdr:clientData/>
  </xdr:twoCellAnchor>
  <xdr:twoCellAnchor>
    <xdr:from>
      <xdr:col>2</xdr:col>
      <xdr:colOff>76199</xdr:colOff>
      <xdr:row>8</xdr:row>
      <xdr:rowOff>19050</xdr:rowOff>
    </xdr:from>
    <xdr:to>
      <xdr:col>3</xdr:col>
      <xdr:colOff>470399</xdr:colOff>
      <xdr:row>9</xdr:row>
      <xdr:rowOff>85725</xdr:rowOff>
    </xdr:to>
    <xdr:sp macro="" textlink="">
      <xdr:nvSpPr>
        <xdr:cNvPr id="15" name="TextBox 14">
          <a:extLst>
            <a:ext uri="{FF2B5EF4-FFF2-40B4-BE49-F238E27FC236}">
              <a16:creationId xmlns:a16="http://schemas.microsoft.com/office/drawing/2014/main" id="{6E3491B5-77C6-491F-8882-186787967C8F}"/>
            </a:ext>
          </a:extLst>
        </xdr:cNvPr>
        <xdr:cNvSpPr txBox="1"/>
      </xdr:nvSpPr>
      <xdr:spPr>
        <a:xfrm>
          <a:off x="731519" y="1543050"/>
          <a:ext cx="1080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Amount</a:t>
          </a:r>
        </a:p>
        <a:p>
          <a:endParaRPr lang="en-IN" sz="1100"/>
        </a:p>
      </xdr:txBody>
    </xdr:sp>
    <xdr:clientData/>
  </xdr:twoCellAnchor>
  <xdr:twoCellAnchor>
    <xdr:from>
      <xdr:col>2</xdr:col>
      <xdr:colOff>85725</xdr:colOff>
      <xdr:row>10</xdr:row>
      <xdr:rowOff>142875</xdr:rowOff>
    </xdr:from>
    <xdr:to>
      <xdr:col>3</xdr:col>
      <xdr:colOff>123825</xdr:colOff>
      <xdr:row>11</xdr:row>
      <xdr:rowOff>185737</xdr:rowOff>
    </xdr:to>
    <xdr:sp macro="" textlink="Pivots!A12">
      <xdr:nvSpPr>
        <xdr:cNvPr id="17" name="TextBox 16">
          <a:extLst>
            <a:ext uri="{FF2B5EF4-FFF2-40B4-BE49-F238E27FC236}">
              <a16:creationId xmlns:a16="http://schemas.microsoft.com/office/drawing/2014/main" id="{36231DCD-AA20-408C-8639-EDF55ACAE64A}"/>
            </a:ext>
          </a:extLst>
        </xdr:cNvPr>
        <xdr:cNvSpPr txBox="1"/>
      </xdr:nvSpPr>
      <xdr:spPr>
        <a:xfrm>
          <a:off x="733425" y="2047875"/>
          <a:ext cx="7239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34B1BB-2CA4-486B-8CA0-C4404AF5BFD2}" type="TxLink">
            <a:rPr lang="en-US" sz="1100" b="0" i="0" u="none" strike="noStrike">
              <a:solidFill>
                <a:schemeClr val="bg1">
                  <a:lumMod val="75000"/>
                </a:schemeClr>
              </a:solidFill>
              <a:latin typeface="+mj-lt"/>
            </a:rPr>
            <a:pPr algn="ctr"/>
            <a:t>207</a:t>
          </a:fld>
          <a:endParaRPr lang="en-IN" sz="1100">
            <a:solidFill>
              <a:schemeClr val="bg1">
                <a:lumMod val="75000"/>
              </a:schemeClr>
            </a:solidFill>
            <a:latin typeface="+mj-lt"/>
          </a:endParaRPr>
        </a:p>
      </xdr:txBody>
    </xdr:sp>
    <xdr:clientData/>
  </xdr:twoCellAnchor>
  <xdr:twoCellAnchor>
    <xdr:from>
      <xdr:col>2</xdr:col>
      <xdr:colOff>5713</xdr:colOff>
      <xdr:row>8</xdr:row>
      <xdr:rowOff>0</xdr:rowOff>
    </xdr:from>
    <xdr:to>
      <xdr:col>3</xdr:col>
      <xdr:colOff>400582</xdr:colOff>
      <xdr:row>12</xdr:row>
      <xdr:rowOff>47625</xdr:rowOff>
    </xdr:to>
    <xdr:sp macro="" textlink="Pivots!B4">
      <xdr:nvSpPr>
        <xdr:cNvPr id="38" name="Rectangle 37">
          <a:extLst>
            <a:ext uri="{FF2B5EF4-FFF2-40B4-BE49-F238E27FC236}">
              <a16:creationId xmlns:a16="http://schemas.microsoft.com/office/drawing/2014/main" id="{FA8E05DB-0B36-401E-9BFA-2A76CEDFE067}"/>
            </a:ext>
          </a:extLst>
        </xdr:cNvPr>
        <xdr:cNvSpPr/>
      </xdr:nvSpPr>
      <xdr:spPr>
        <a:xfrm>
          <a:off x="650482" y="1524000"/>
          <a:ext cx="1083600" cy="8096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EA55AF-55A2-4B3A-931A-6545BCE107AB}" type="TxLink">
            <a:rPr lang="en-US" sz="2000" b="0" i="0" u="none" strike="noStrike">
              <a:solidFill>
                <a:schemeClr val="bg1"/>
              </a:solidFill>
              <a:latin typeface="+mj-lt"/>
              <a:ea typeface="+mn-ea"/>
              <a:cs typeface="+mn-cs"/>
            </a:rPr>
            <a:pPr marL="0" indent="0" algn="ctr"/>
            <a:t>$96,623</a:t>
          </a:fld>
          <a:endParaRPr lang="en-US" sz="2000" b="0" i="0" u="none" strike="noStrike">
            <a:solidFill>
              <a:schemeClr val="bg1"/>
            </a:solidFill>
            <a:latin typeface="+mj-lt"/>
            <a:ea typeface="+mn-ea"/>
            <a:cs typeface="+mn-cs"/>
          </a:endParaRPr>
        </a:p>
      </xdr:txBody>
    </xdr:sp>
    <xdr:clientData/>
  </xdr:twoCellAnchor>
  <xdr:twoCellAnchor>
    <xdr:from>
      <xdr:col>2</xdr:col>
      <xdr:colOff>5714</xdr:colOff>
      <xdr:row>8</xdr:row>
      <xdr:rowOff>19050</xdr:rowOff>
    </xdr:from>
    <xdr:to>
      <xdr:col>3</xdr:col>
      <xdr:colOff>399914</xdr:colOff>
      <xdr:row>9</xdr:row>
      <xdr:rowOff>85725</xdr:rowOff>
    </xdr:to>
    <xdr:sp macro="" textlink="">
      <xdr:nvSpPr>
        <xdr:cNvPr id="39" name="TextBox 38">
          <a:extLst>
            <a:ext uri="{FF2B5EF4-FFF2-40B4-BE49-F238E27FC236}">
              <a16:creationId xmlns:a16="http://schemas.microsoft.com/office/drawing/2014/main" id="{003497A2-EE0B-4A3F-85AE-6FFB32EFC448}"/>
            </a:ext>
          </a:extLst>
        </xdr:cNvPr>
        <xdr:cNvSpPr txBox="1"/>
      </xdr:nvSpPr>
      <xdr:spPr>
        <a:xfrm>
          <a:off x="661034" y="1543050"/>
          <a:ext cx="1080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Amount</a:t>
          </a:r>
        </a:p>
        <a:p>
          <a:endParaRPr lang="en-IN" sz="1100"/>
        </a:p>
      </xdr:txBody>
    </xdr:sp>
    <xdr:clientData/>
  </xdr:twoCellAnchor>
  <xdr:twoCellAnchor>
    <xdr:from>
      <xdr:col>2</xdr:col>
      <xdr:colOff>0</xdr:colOff>
      <xdr:row>10</xdr:row>
      <xdr:rowOff>150495</xdr:rowOff>
    </xdr:from>
    <xdr:to>
      <xdr:col>3</xdr:col>
      <xdr:colOff>394200</xdr:colOff>
      <xdr:row>12</xdr:row>
      <xdr:rowOff>2857</xdr:rowOff>
    </xdr:to>
    <xdr:sp macro="" textlink="Pivots!B12">
      <xdr:nvSpPr>
        <xdr:cNvPr id="41" name="TextBox 40">
          <a:extLst>
            <a:ext uri="{FF2B5EF4-FFF2-40B4-BE49-F238E27FC236}">
              <a16:creationId xmlns:a16="http://schemas.microsoft.com/office/drawing/2014/main" id="{2211FB98-520F-4766-A6B1-A7E046A6C5CD}"/>
            </a:ext>
          </a:extLst>
        </xdr:cNvPr>
        <xdr:cNvSpPr txBox="1"/>
      </xdr:nvSpPr>
      <xdr:spPr>
        <a:xfrm>
          <a:off x="655320" y="2055495"/>
          <a:ext cx="10800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F31EAA-1070-4E07-883E-0C7F1E7102A7}" type="TxLink">
            <a:rPr lang="en-US" sz="1100" b="0" i="0" u="none" strike="noStrike">
              <a:solidFill>
                <a:schemeClr val="bg1">
                  <a:lumMod val="75000"/>
                </a:schemeClr>
              </a:solidFill>
              <a:latin typeface="+mj-lt"/>
              <a:ea typeface="+mn-ea"/>
              <a:cs typeface="+mn-cs"/>
            </a:rPr>
            <a:pPr marL="0" indent="0" algn="ctr"/>
            <a:t>$20,872</a:t>
          </a:fld>
          <a:endParaRPr lang="en-IN" sz="1100" b="0" i="0" u="none" strike="noStrike">
            <a:solidFill>
              <a:schemeClr val="bg1">
                <a:lumMod val="75000"/>
              </a:schemeClr>
            </a:solidFill>
            <a:latin typeface="+mj-lt"/>
            <a:ea typeface="+mn-ea"/>
            <a:cs typeface="+mn-cs"/>
          </a:endParaRPr>
        </a:p>
      </xdr:txBody>
    </xdr:sp>
    <xdr:clientData/>
  </xdr:twoCellAnchor>
  <xdr:twoCellAnchor>
    <xdr:from>
      <xdr:col>2</xdr:col>
      <xdr:colOff>5714</xdr:colOff>
      <xdr:row>15</xdr:row>
      <xdr:rowOff>0</xdr:rowOff>
    </xdr:from>
    <xdr:to>
      <xdr:col>3</xdr:col>
      <xdr:colOff>399914</xdr:colOff>
      <xdr:row>19</xdr:row>
      <xdr:rowOff>47625</xdr:rowOff>
    </xdr:to>
    <xdr:sp macro="" textlink="Pivots!C4">
      <xdr:nvSpPr>
        <xdr:cNvPr id="42" name="Rectangle 41">
          <a:extLst>
            <a:ext uri="{FF2B5EF4-FFF2-40B4-BE49-F238E27FC236}">
              <a16:creationId xmlns:a16="http://schemas.microsoft.com/office/drawing/2014/main" id="{AEB805F0-D95F-4DCA-AA40-47EAE545F05B}"/>
            </a:ext>
          </a:extLst>
        </xdr:cNvPr>
        <xdr:cNvSpPr/>
      </xdr:nvSpPr>
      <xdr:spPr>
        <a:xfrm>
          <a:off x="661034" y="2857500"/>
          <a:ext cx="1080000" cy="8096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557AF3-A27D-4CDE-BDE1-5780AE7E92F7}"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twoCellAnchor>
    <xdr:from>
      <xdr:col>2</xdr:col>
      <xdr:colOff>5714</xdr:colOff>
      <xdr:row>15</xdr:row>
      <xdr:rowOff>19050</xdr:rowOff>
    </xdr:from>
    <xdr:to>
      <xdr:col>3</xdr:col>
      <xdr:colOff>399914</xdr:colOff>
      <xdr:row>16</xdr:row>
      <xdr:rowOff>85725</xdr:rowOff>
    </xdr:to>
    <xdr:sp macro="" textlink="">
      <xdr:nvSpPr>
        <xdr:cNvPr id="43" name="TextBox 42">
          <a:extLst>
            <a:ext uri="{FF2B5EF4-FFF2-40B4-BE49-F238E27FC236}">
              <a16:creationId xmlns:a16="http://schemas.microsoft.com/office/drawing/2014/main" id="{FCA75287-2628-4844-984D-D95F6ADE9934}"/>
            </a:ext>
          </a:extLst>
        </xdr:cNvPr>
        <xdr:cNvSpPr txBox="1"/>
      </xdr:nvSpPr>
      <xdr:spPr>
        <a:xfrm>
          <a:off x="661034" y="2876550"/>
          <a:ext cx="1080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Duration</a:t>
          </a:r>
        </a:p>
        <a:p>
          <a:endParaRPr lang="en-IN" sz="1100"/>
        </a:p>
      </xdr:txBody>
    </xdr:sp>
    <xdr:clientData/>
  </xdr:twoCellAnchor>
  <xdr:twoCellAnchor editAs="oneCell">
    <xdr:from>
      <xdr:col>2</xdr:col>
      <xdr:colOff>43697</xdr:colOff>
      <xdr:row>15</xdr:row>
      <xdr:rowOff>51670</xdr:rowOff>
    </xdr:from>
    <xdr:to>
      <xdr:col>2</xdr:col>
      <xdr:colOff>256142</xdr:colOff>
      <xdr:row>16</xdr:row>
      <xdr:rowOff>73615</xdr:rowOff>
    </xdr:to>
    <xdr:pic>
      <xdr:nvPicPr>
        <xdr:cNvPr id="44" name="Graphic 43">
          <a:extLst>
            <a:ext uri="{FF2B5EF4-FFF2-40B4-BE49-F238E27FC236}">
              <a16:creationId xmlns:a16="http://schemas.microsoft.com/office/drawing/2014/main" id="{E59E1917-D971-4A01-8BC8-F56B046A60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91397" y="2909170"/>
          <a:ext cx="212445" cy="212445"/>
        </a:xfrm>
        <a:prstGeom prst="rect">
          <a:avLst/>
        </a:prstGeom>
      </xdr:spPr>
    </xdr:pic>
    <xdr:clientData/>
  </xdr:twoCellAnchor>
  <xdr:twoCellAnchor>
    <xdr:from>
      <xdr:col>2</xdr:col>
      <xdr:colOff>0</xdr:colOff>
      <xdr:row>17</xdr:row>
      <xdr:rowOff>150495</xdr:rowOff>
    </xdr:from>
    <xdr:to>
      <xdr:col>3</xdr:col>
      <xdr:colOff>394200</xdr:colOff>
      <xdr:row>19</xdr:row>
      <xdr:rowOff>2857</xdr:rowOff>
    </xdr:to>
    <xdr:sp macro="" textlink="Pivots!C12">
      <xdr:nvSpPr>
        <xdr:cNvPr id="45" name="TextBox 44">
          <a:extLst>
            <a:ext uri="{FF2B5EF4-FFF2-40B4-BE49-F238E27FC236}">
              <a16:creationId xmlns:a16="http://schemas.microsoft.com/office/drawing/2014/main" id="{E1ECE201-A381-44C2-AF39-2F9D08EAE962}"/>
            </a:ext>
          </a:extLst>
        </xdr:cNvPr>
        <xdr:cNvSpPr txBox="1"/>
      </xdr:nvSpPr>
      <xdr:spPr>
        <a:xfrm>
          <a:off x="655320" y="3388995"/>
          <a:ext cx="10800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B63F61-DB7C-4D84-BE20-BD9E5F6B9AB4}" type="TxLink">
            <a:rPr lang="en-US" sz="1100" b="0" i="0" u="none" strike="noStrike">
              <a:solidFill>
                <a:schemeClr val="bg1">
                  <a:lumMod val="75000"/>
                </a:schemeClr>
              </a:solidFill>
              <a:latin typeface="+mj-lt"/>
              <a:ea typeface="+mn-ea"/>
              <a:cs typeface="+mn-cs"/>
            </a:rPr>
            <a:pPr marL="0" indent="0" algn="ctr"/>
            <a:t>17,700</a:t>
          </a:fld>
          <a:endParaRPr lang="en-IN" sz="1100" b="0" i="0" u="none" strike="noStrike">
            <a:solidFill>
              <a:schemeClr val="bg1">
                <a:lumMod val="75000"/>
              </a:schemeClr>
            </a:solidFill>
            <a:latin typeface="+mj-lt"/>
            <a:ea typeface="+mn-ea"/>
            <a:cs typeface="+mn-cs"/>
          </a:endParaRPr>
        </a:p>
      </xdr:txBody>
    </xdr:sp>
    <xdr:clientData/>
  </xdr:twoCellAnchor>
  <xdr:twoCellAnchor>
    <xdr:from>
      <xdr:col>2</xdr:col>
      <xdr:colOff>5714</xdr:colOff>
      <xdr:row>22</xdr:row>
      <xdr:rowOff>0</xdr:rowOff>
    </xdr:from>
    <xdr:to>
      <xdr:col>3</xdr:col>
      <xdr:colOff>399914</xdr:colOff>
      <xdr:row>26</xdr:row>
      <xdr:rowOff>47625</xdr:rowOff>
    </xdr:to>
    <xdr:sp macro="" textlink="Pivots!D4">
      <xdr:nvSpPr>
        <xdr:cNvPr id="46" name="Rectangle 45">
          <a:extLst>
            <a:ext uri="{FF2B5EF4-FFF2-40B4-BE49-F238E27FC236}">
              <a16:creationId xmlns:a16="http://schemas.microsoft.com/office/drawing/2014/main" id="{10F50AC3-9B73-457C-B3C2-C7A313164B16}"/>
            </a:ext>
          </a:extLst>
        </xdr:cNvPr>
        <xdr:cNvSpPr/>
      </xdr:nvSpPr>
      <xdr:spPr>
        <a:xfrm>
          <a:off x="661034" y="4191000"/>
          <a:ext cx="1080000" cy="8096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B68ED6D-1B1A-4B83-AF7E-EFBFAEBDEF52}"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twoCellAnchor>
    <xdr:from>
      <xdr:col>2</xdr:col>
      <xdr:colOff>81914</xdr:colOff>
      <xdr:row>22</xdr:row>
      <xdr:rowOff>28575</xdr:rowOff>
    </xdr:from>
    <xdr:to>
      <xdr:col>3</xdr:col>
      <xdr:colOff>476114</xdr:colOff>
      <xdr:row>23</xdr:row>
      <xdr:rowOff>95250</xdr:rowOff>
    </xdr:to>
    <xdr:sp macro="" textlink="">
      <xdr:nvSpPr>
        <xdr:cNvPr id="47" name="TextBox 46">
          <a:extLst>
            <a:ext uri="{FF2B5EF4-FFF2-40B4-BE49-F238E27FC236}">
              <a16:creationId xmlns:a16="http://schemas.microsoft.com/office/drawing/2014/main" id="{AEF0C77B-896A-49D3-B70C-B6ED0A5FBA6F}"/>
            </a:ext>
          </a:extLst>
        </xdr:cNvPr>
        <xdr:cNvSpPr txBox="1"/>
      </xdr:nvSpPr>
      <xdr:spPr>
        <a:xfrm>
          <a:off x="729614" y="4219575"/>
          <a:ext cx="10800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Avg. </a:t>
          </a:r>
          <a:r>
            <a:rPr lang="en-IN" sz="1100">
              <a:solidFill>
                <a:schemeClr val="bg1">
                  <a:lumMod val="75000"/>
                </a:schemeClr>
              </a:solidFill>
              <a:latin typeface="+mj-lt"/>
            </a:rPr>
            <a:t>Rating</a:t>
          </a:r>
          <a:endParaRPr lang="en-IN" sz="1200">
            <a:solidFill>
              <a:schemeClr val="bg1">
                <a:lumMod val="75000"/>
              </a:schemeClr>
            </a:solidFill>
            <a:latin typeface="+mj-lt"/>
          </a:endParaRPr>
        </a:p>
        <a:p>
          <a:endParaRPr lang="en-IN" sz="1100"/>
        </a:p>
      </xdr:txBody>
    </xdr:sp>
    <xdr:clientData/>
  </xdr:twoCellAnchor>
  <xdr:twoCellAnchor editAs="oneCell">
    <xdr:from>
      <xdr:col>2</xdr:col>
      <xdr:colOff>42802</xdr:colOff>
      <xdr:row>22</xdr:row>
      <xdr:rowOff>48201</xdr:rowOff>
    </xdr:from>
    <xdr:to>
      <xdr:col>2</xdr:col>
      <xdr:colOff>235426</xdr:colOff>
      <xdr:row>23</xdr:row>
      <xdr:rowOff>121215</xdr:rowOff>
    </xdr:to>
    <xdr:pic>
      <xdr:nvPicPr>
        <xdr:cNvPr id="48" name="Graphic 47">
          <a:extLst>
            <a:ext uri="{FF2B5EF4-FFF2-40B4-BE49-F238E27FC236}">
              <a16:creationId xmlns:a16="http://schemas.microsoft.com/office/drawing/2014/main" id="{8EFD3468-47D4-404E-84D6-C8F3F4FE46E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87571" y="4239201"/>
          <a:ext cx="208800" cy="208800"/>
        </a:xfrm>
        <a:prstGeom prst="rect">
          <a:avLst/>
        </a:prstGeom>
      </xdr:spPr>
    </xdr:pic>
    <xdr:clientData/>
  </xdr:twoCellAnchor>
  <xdr:twoCellAnchor>
    <xdr:from>
      <xdr:col>2</xdr:col>
      <xdr:colOff>0</xdr:colOff>
      <xdr:row>24</xdr:row>
      <xdr:rowOff>150495</xdr:rowOff>
    </xdr:from>
    <xdr:to>
      <xdr:col>3</xdr:col>
      <xdr:colOff>394200</xdr:colOff>
      <xdr:row>26</xdr:row>
      <xdr:rowOff>2857</xdr:rowOff>
    </xdr:to>
    <xdr:sp macro="" textlink="Pivots!D12">
      <xdr:nvSpPr>
        <xdr:cNvPr id="49" name="TextBox 48">
          <a:extLst>
            <a:ext uri="{FF2B5EF4-FFF2-40B4-BE49-F238E27FC236}">
              <a16:creationId xmlns:a16="http://schemas.microsoft.com/office/drawing/2014/main" id="{B4228158-1DC3-4339-AF29-47EC4187B52B}"/>
            </a:ext>
          </a:extLst>
        </xdr:cNvPr>
        <xdr:cNvSpPr txBox="1"/>
      </xdr:nvSpPr>
      <xdr:spPr>
        <a:xfrm>
          <a:off x="655320" y="4722495"/>
          <a:ext cx="10800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EDA9A7-ED03-4806-84C8-CFEFE85BBF2A}" type="TxLink">
            <a:rPr lang="en-US" sz="1100" b="0" i="0" u="none" strike="noStrike">
              <a:solidFill>
                <a:schemeClr val="bg1">
                  <a:lumMod val="75000"/>
                </a:schemeClr>
              </a:solidFill>
              <a:latin typeface="+mj-lt"/>
              <a:ea typeface="+mn-ea"/>
              <a:cs typeface="+mn-cs"/>
            </a:rPr>
            <a:pPr marL="0" indent="0" algn="ctr"/>
            <a:t>3.9</a:t>
          </a:fld>
          <a:endParaRPr lang="en-IN" sz="1100" b="0" i="0" u="none" strike="noStrike">
            <a:solidFill>
              <a:schemeClr val="bg1">
                <a:lumMod val="75000"/>
              </a:schemeClr>
            </a:solidFill>
            <a:latin typeface="+mj-lt"/>
            <a:ea typeface="+mn-ea"/>
            <a:cs typeface="+mn-cs"/>
          </a:endParaRPr>
        </a:p>
      </xdr:txBody>
    </xdr:sp>
    <xdr:clientData/>
  </xdr:twoCellAnchor>
  <xdr:twoCellAnchor>
    <xdr:from>
      <xdr:col>2</xdr:col>
      <xdr:colOff>5714</xdr:colOff>
      <xdr:row>29</xdr:row>
      <xdr:rowOff>0</xdr:rowOff>
    </xdr:from>
    <xdr:to>
      <xdr:col>3</xdr:col>
      <xdr:colOff>399914</xdr:colOff>
      <xdr:row>33</xdr:row>
      <xdr:rowOff>47625</xdr:rowOff>
    </xdr:to>
    <xdr:sp macro="" textlink="Pivots!E4">
      <xdr:nvSpPr>
        <xdr:cNvPr id="50" name="Rectangle 49">
          <a:extLst>
            <a:ext uri="{FF2B5EF4-FFF2-40B4-BE49-F238E27FC236}">
              <a16:creationId xmlns:a16="http://schemas.microsoft.com/office/drawing/2014/main" id="{761CB558-E2C7-44EE-A25C-CCBF211D3DDB}"/>
            </a:ext>
          </a:extLst>
        </xdr:cNvPr>
        <xdr:cNvSpPr/>
      </xdr:nvSpPr>
      <xdr:spPr>
        <a:xfrm>
          <a:off x="640714" y="5762625"/>
          <a:ext cx="1076825" cy="809625"/>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38EC3A8-B887-440C-BC6F-166B351B512D}" type="TxLink">
            <a:rPr lang="en-US" sz="2000" b="0" i="0" u="none" strike="noStrike">
              <a:solidFill>
                <a:schemeClr val="bg1"/>
              </a:solidFill>
              <a:latin typeface="+mj-lt"/>
              <a:ea typeface="+mn-ea"/>
              <a:cs typeface="+mn-cs"/>
            </a:rPr>
            <a:pPr marL="0" indent="0" algn="ctr"/>
            <a:t>307</a:t>
          </a:fld>
          <a:endParaRPr lang="en-US" sz="2000" b="0" i="0" u="none" strike="noStrike">
            <a:solidFill>
              <a:schemeClr val="bg1"/>
            </a:solidFill>
            <a:latin typeface="+mj-lt"/>
            <a:ea typeface="+mn-ea"/>
            <a:cs typeface="+mn-cs"/>
          </a:endParaRPr>
        </a:p>
      </xdr:txBody>
    </xdr:sp>
    <xdr:clientData/>
  </xdr:twoCellAnchor>
  <xdr:twoCellAnchor>
    <xdr:from>
      <xdr:col>1</xdr:col>
      <xdr:colOff>234314</xdr:colOff>
      <xdr:row>28</xdr:row>
      <xdr:rowOff>171450</xdr:rowOff>
    </xdr:from>
    <xdr:to>
      <xdr:col>3</xdr:col>
      <xdr:colOff>495300</xdr:colOff>
      <xdr:row>30</xdr:row>
      <xdr:rowOff>76200</xdr:rowOff>
    </xdr:to>
    <xdr:sp macro="" textlink="">
      <xdr:nvSpPr>
        <xdr:cNvPr id="51" name="TextBox 50">
          <a:extLst>
            <a:ext uri="{FF2B5EF4-FFF2-40B4-BE49-F238E27FC236}">
              <a16:creationId xmlns:a16="http://schemas.microsoft.com/office/drawing/2014/main" id="{A11CFFB6-8D13-4325-B402-8FFF9CF25FAB}"/>
            </a:ext>
          </a:extLst>
        </xdr:cNvPr>
        <xdr:cNvSpPr txBox="1"/>
      </xdr:nvSpPr>
      <xdr:spPr>
        <a:xfrm>
          <a:off x="564514" y="5505450"/>
          <a:ext cx="127698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lumMod val="75000"/>
                </a:schemeClr>
              </a:solidFill>
              <a:latin typeface="+mj-lt"/>
            </a:rPr>
            <a:t>Happy Callers</a:t>
          </a:r>
        </a:p>
        <a:p>
          <a:endParaRPr lang="en-IN" sz="1100"/>
        </a:p>
      </xdr:txBody>
    </xdr:sp>
    <xdr:clientData/>
  </xdr:twoCellAnchor>
  <xdr:twoCellAnchor>
    <xdr:from>
      <xdr:col>2</xdr:col>
      <xdr:colOff>0</xdr:colOff>
      <xdr:row>31</xdr:row>
      <xdr:rowOff>150495</xdr:rowOff>
    </xdr:from>
    <xdr:to>
      <xdr:col>3</xdr:col>
      <xdr:colOff>394200</xdr:colOff>
      <xdr:row>33</xdr:row>
      <xdr:rowOff>2857</xdr:rowOff>
    </xdr:to>
    <xdr:sp macro="" textlink="Pivots!E12">
      <xdr:nvSpPr>
        <xdr:cNvPr id="53" name="TextBox 52">
          <a:extLst>
            <a:ext uri="{FF2B5EF4-FFF2-40B4-BE49-F238E27FC236}">
              <a16:creationId xmlns:a16="http://schemas.microsoft.com/office/drawing/2014/main" id="{9F77BE3E-8000-4231-837B-BE8B807DD40D}"/>
            </a:ext>
          </a:extLst>
        </xdr:cNvPr>
        <xdr:cNvSpPr txBox="1"/>
      </xdr:nvSpPr>
      <xdr:spPr>
        <a:xfrm>
          <a:off x="655320" y="6055995"/>
          <a:ext cx="1080000"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60A911-42DC-4E1D-93F1-CCC7437E65C9}" type="TxLink">
            <a:rPr lang="en-US" sz="1100" b="0" i="0" u="none" strike="noStrike">
              <a:solidFill>
                <a:schemeClr val="bg1">
                  <a:lumMod val="75000"/>
                </a:schemeClr>
              </a:solidFill>
              <a:latin typeface="+mj-lt"/>
              <a:ea typeface="+mn-ea"/>
              <a:cs typeface="+mn-cs"/>
            </a:rPr>
            <a:pPr marL="0" indent="0" algn="ctr"/>
            <a:t>60</a:t>
          </a:fld>
          <a:endParaRPr lang="en-IN" sz="1100" b="0" i="0" u="none" strike="noStrike">
            <a:solidFill>
              <a:schemeClr val="bg1">
                <a:lumMod val="75000"/>
              </a:schemeClr>
            </a:solidFill>
            <a:latin typeface="+mj-lt"/>
            <a:ea typeface="+mn-ea"/>
            <a:cs typeface="+mn-cs"/>
          </a:endParaRPr>
        </a:p>
      </xdr:txBody>
    </xdr:sp>
    <xdr:clientData/>
  </xdr:twoCellAnchor>
  <xdr:twoCellAnchor editAs="oneCell">
    <xdr:from>
      <xdr:col>2</xdr:col>
      <xdr:colOff>76200</xdr:colOff>
      <xdr:row>8</xdr:row>
      <xdr:rowOff>66675</xdr:rowOff>
    </xdr:from>
    <xdr:to>
      <xdr:col>2</xdr:col>
      <xdr:colOff>270600</xdr:colOff>
      <xdr:row>9</xdr:row>
      <xdr:rowOff>67595</xdr:rowOff>
    </xdr:to>
    <xdr:pic>
      <xdr:nvPicPr>
        <xdr:cNvPr id="59" name="Graphic 58" descr="Shopping cart with solid fill">
          <a:extLst>
            <a:ext uri="{FF2B5EF4-FFF2-40B4-BE49-F238E27FC236}">
              <a16:creationId xmlns:a16="http://schemas.microsoft.com/office/drawing/2014/main" id="{9A43ECC9-5A8B-4E47-B5B9-7C205C8477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3900" y="1590675"/>
          <a:ext cx="194400" cy="191420"/>
        </a:xfrm>
        <a:prstGeom prst="rect">
          <a:avLst/>
        </a:prstGeom>
      </xdr:spPr>
    </xdr:pic>
    <xdr:clientData/>
  </xdr:twoCellAnchor>
  <xdr:twoCellAnchor editAs="oneCell">
    <xdr:from>
      <xdr:col>2</xdr:col>
      <xdr:colOff>66676</xdr:colOff>
      <xdr:row>30</xdr:row>
      <xdr:rowOff>9525</xdr:rowOff>
    </xdr:from>
    <xdr:to>
      <xdr:col>2</xdr:col>
      <xdr:colOff>255809</xdr:colOff>
      <xdr:row>31</xdr:row>
      <xdr:rowOff>6225</xdr:rowOff>
    </xdr:to>
    <xdr:pic>
      <xdr:nvPicPr>
        <xdr:cNvPr id="60" name="Graphic 59" descr="Star-struck face outline with solid fill">
          <a:extLst>
            <a:ext uri="{FF2B5EF4-FFF2-40B4-BE49-F238E27FC236}">
              <a16:creationId xmlns:a16="http://schemas.microsoft.com/office/drawing/2014/main" id="{40C05EFA-4F78-4DCB-A281-9F3474C41A8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14376" y="5724525"/>
          <a:ext cx="189133" cy="187200"/>
        </a:xfrm>
        <a:prstGeom prst="rect">
          <a:avLst/>
        </a:prstGeom>
      </xdr:spPr>
    </xdr:pic>
    <xdr:clientData/>
  </xdr:twoCellAnchor>
  <xdr:twoCellAnchor editAs="oneCell">
    <xdr:from>
      <xdr:col>13</xdr:col>
      <xdr:colOff>503945</xdr:colOff>
      <xdr:row>17</xdr:row>
      <xdr:rowOff>64111</xdr:rowOff>
    </xdr:from>
    <xdr:to>
      <xdr:col>15</xdr:col>
      <xdr:colOff>522044</xdr:colOff>
      <xdr:row>29</xdr:row>
      <xdr:rowOff>1001</xdr:rowOff>
    </xdr:to>
    <mc:AlternateContent xmlns:mc="http://schemas.openxmlformats.org/markup-compatibility/2006" xmlns:a14="http://schemas.microsoft.com/office/drawing/2010/main">
      <mc:Choice Requires="a14">
        <xdr:graphicFrame macro="">
          <xdr:nvGraphicFramePr>
            <xdr:cNvPr id="61" name="Representative">
              <a:extLst>
                <a:ext uri="{FF2B5EF4-FFF2-40B4-BE49-F238E27FC236}">
                  <a16:creationId xmlns:a16="http://schemas.microsoft.com/office/drawing/2014/main" id="{71D5A6F6-9731-4712-A2DF-553E153F086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8262490" y="3302611"/>
              <a:ext cx="1403554" cy="222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25349</xdr:colOff>
      <xdr:row>2</xdr:row>
      <xdr:rowOff>0</xdr:rowOff>
    </xdr:from>
    <xdr:to>
      <xdr:col>17</xdr:col>
      <xdr:colOff>98083</xdr:colOff>
      <xdr:row>16</xdr:row>
      <xdr:rowOff>75131</xdr:rowOff>
    </xdr:to>
    <xdr:graphicFrame macro="">
      <xdr:nvGraphicFramePr>
        <xdr:cNvPr id="6" name="Chart 5">
          <a:extLst>
            <a:ext uri="{FF2B5EF4-FFF2-40B4-BE49-F238E27FC236}">
              <a16:creationId xmlns:a16="http://schemas.microsoft.com/office/drawing/2014/main" id="{28FA6CF9-3CDD-4473-B2D8-8B82D049F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2</xdr:row>
      <xdr:rowOff>0</xdr:rowOff>
    </xdr:from>
    <xdr:to>
      <xdr:col>13</xdr:col>
      <xdr:colOff>59948</xdr:colOff>
      <xdr:row>16</xdr:row>
      <xdr:rowOff>76200</xdr:rowOff>
    </xdr:to>
    <xdr:graphicFrame macro="">
      <xdr:nvGraphicFramePr>
        <xdr:cNvPr id="62" name="Chart 61">
          <a:extLst>
            <a:ext uri="{FF2B5EF4-FFF2-40B4-BE49-F238E27FC236}">
              <a16:creationId xmlns:a16="http://schemas.microsoft.com/office/drawing/2014/main" id="{3DBDC43B-F4C2-44CB-8306-0432F13ED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166033</xdr:colOff>
      <xdr:row>17</xdr:row>
      <xdr:rowOff>61176</xdr:rowOff>
    </xdr:from>
    <xdr:to>
      <xdr:col>13</xdr:col>
      <xdr:colOff>490821</xdr:colOff>
      <xdr:row>32</xdr:row>
      <xdr:rowOff>48417</xdr:rowOff>
    </xdr:to>
    <xdr:sp macro="" textlink="">
      <xdr:nvSpPr>
        <xdr:cNvPr id="9" name="Rectangle 8">
          <a:extLst>
            <a:ext uri="{FF2B5EF4-FFF2-40B4-BE49-F238E27FC236}">
              <a16:creationId xmlns:a16="http://schemas.microsoft.com/office/drawing/2014/main" id="{FAF94F72-8162-56F3-0C25-B1657A1CDF08}"/>
            </a:ext>
          </a:extLst>
        </xdr:cNvPr>
        <xdr:cNvSpPr/>
      </xdr:nvSpPr>
      <xdr:spPr>
        <a:xfrm>
          <a:off x="2184764" y="3203004"/>
          <a:ext cx="5968706" cy="2759443"/>
        </a:xfrm>
        <a:prstGeom prst="rect">
          <a:avLst/>
        </a:prstGeom>
        <a:solidFill>
          <a:schemeClr val="bg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178593</xdr:colOff>
      <xdr:row>17</xdr:row>
      <xdr:rowOff>56372</xdr:rowOff>
    </xdr:from>
    <xdr:to>
      <xdr:col>13</xdr:col>
      <xdr:colOff>426492</xdr:colOff>
      <xdr:row>32</xdr:row>
      <xdr:rowOff>42649</xdr:rowOff>
    </xdr:to>
    <xdr:graphicFrame macro="">
      <xdr:nvGraphicFramePr>
        <xdr:cNvPr id="8" name="Chart 7">
          <a:extLst>
            <a:ext uri="{FF2B5EF4-FFF2-40B4-BE49-F238E27FC236}">
              <a16:creationId xmlns:a16="http://schemas.microsoft.com/office/drawing/2014/main" id="{9F40C6FE-943D-4077-9B8A-0A1AADFBB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64301</xdr:rowOff>
    </xdr:from>
    <xdr:to>
      <xdr:col>9</xdr:col>
      <xdr:colOff>247899</xdr:colOff>
      <xdr:row>32</xdr:row>
      <xdr:rowOff>50578</xdr:rowOff>
    </xdr:to>
    <xdr:graphicFrame macro="">
      <xdr:nvGraphicFramePr>
        <xdr:cNvPr id="7" name="Chart 6">
          <a:extLst>
            <a:ext uri="{FF2B5EF4-FFF2-40B4-BE49-F238E27FC236}">
              <a16:creationId xmlns:a16="http://schemas.microsoft.com/office/drawing/2014/main" id="{53E9E3C4-377A-4E04-AD35-91B247375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0</xdr:colOff>
      <xdr:row>2</xdr:row>
      <xdr:rowOff>0</xdr:rowOff>
    </xdr:from>
    <xdr:to>
      <xdr:col>22</xdr:col>
      <xdr:colOff>468923</xdr:colOff>
      <xdr:row>16</xdr:row>
      <xdr:rowOff>76200</xdr:rowOff>
    </xdr:to>
    <xdr:graphicFrame macro="">
      <xdr:nvGraphicFramePr>
        <xdr:cNvPr id="10" name="Chart 9">
          <a:extLst>
            <a:ext uri="{FF2B5EF4-FFF2-40B4-BE49-F238E27FC236}">
              <a16:creationId xmlns:a16="http://schemas.microsoft.com/office/drawing/2014/main" id="{8A9707CD-FC1A-4C50-A25F-76F7C5E7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175846</xdr:colOff>
      <xdr:row>17</xdr:row>
      <xdr:rowOff>73267</xdr:rowOff>
    </xdr:from>
    <xdr:to>
      <xdr:col>22</xdr:col>
      <xdr:colOff>424961</xdr:colOff>
      <xdr:row>32</xdr:row>
      <xdr:rowOff>87922</xdr:rowOff>
    </xdr:to>
    <xdr:graphicFrame macro="">
      <xdr:nvGraphicFramePr>
        <xdr:cNvPr id="12" name="Chart 11">
          <a:extLst>
            <a:ext uri="{FF2B5EF4-FFF2-40B4-BE49-F238E27FC236}">
              <a16:creationId xmlns:a16="http://schemas.microsoft.com/office/drawing/2014/main" id="{6231B495-80FF-4B5F-83A7-BB511971B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8.938780208337" backgroundQuery="1" createdVersion="8" refreshedVersion="8" minRefreshableVersion="3" recordCount="0" supportSubquery="1" supportAdvancedDrill="1" xr:uid="{7F1F6BCB-79C2-4AE1-9652-3B41B55736F7}">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8.938778356482" backgroundQuery="1" createdVersion="8" refreshedVersion="8" minRefreshableVersion="3" recordCount="0" supportSubquery="1" supportAdvancedDrill="1" xr:uid="{F56D63EF-016E-447D-B8BD-61FF80C3B0CF}">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8.939412037034" backgroundQuery="1" createdVersion="8" refreshedVersion="8" minRefreshableVersion="3" recordCount="0" supportSubquery="1" supportAdvancedDrill="1" xr:uid="{FF06EAB9-9FBE-46C8-BE7D-A9CB65143B7B}">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208125" backgroundQuery="1" createdVersion="8" refreshedVersion="8" minRefreshableVersion="3" recordCount="0" supportSubquery="1" supportAdvancedDrill="1" xr:uid="{0FF8B7A6-114C-43FB-8E66-FA88B29A2A8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37006712964" backgroundQuery="1" createdVersion="8" refreshedVersion="8" minRefreshableVersion="3" recordCount="0" supportSubquery="1" supportAdvancedDrill="1" xr:uid="{1B8D142D-BD84-4693-A428-BC6D1CF89F86}">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37007175926" backgroundQuery="1" createdVersion="8" refreshedVersion="8" minRefreshableVersion="3" recordCount="0" supportSubquery="1" supportAdvancedDrill="1" xr:uid="{F4B3291E-937E-487E-BEA4-9242A70BF41D}">
  <cacheSource type="external" connectionId="1"/>
  <cacheFields count="5">
    <cacheField name="[calls].[Date of Call].[Date of Call]" caption="Date of Call" numFmtId="0" hierarchy="4" level="1">
      <sharedItems containsSemiMixedTypes="0" containsNonDate="0" containsDate="1" containsString="0" minDate="2023-08-02T00:00:00" maxDate="2023-08-31T00:00:00" count="7">
        <d v="2023-08-02T00:00:00"/>
        <d v="2023-08-10T00:00:00"/>
        <d v="2023-08-16T00:00:00"/>
        <d v="2023-08-18T00:00:00"/>
        <d v="2023-08-19T00:00:00"/>
        <d v="2023-08-27T00:00:00"/>
        <d v="2023-08-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37007754626" backgroundQuery="1" createdVersion="8" refreshedVersion="8" minRefreshableVersion="3" recordCount="0" supportSubquery="1" supportAdvancedDrill="1" xr:uid="{74186583-9B81-4B5E-98E2-57A31E883FF2}">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3700810185" backgroundQuery="1" createdVersion="8" refreshedVersion="8" minRefreshableVersion="3" recordCount="0" supportSubquery="1" supportAdvancedDrill="1" xr:uid="{092B2406-465A-4A29-882D-2328F9829757}">
  <cacheSource type="external" connectionId="1"/>
  <cacheFields count="3">
    <cacheField name="[calls].[Representative].[Representative]" caption="Representative" numFmtId="0" hierarchy="3" level="1">
      <sharedItems count="1">
        <s v="R03"/>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9.437008449073" backgroundQuery="1" createdVersion="8" refreshedVersion="8" minRefreshableVersion="3" recordCount="0" supportSubquery="1" supportAdvancedDrill="1" xr:uid="{982CDE3F-8ADA-4423-AC0C-F2A28B95038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 KUMAR" refreshedDate="46308.938781481484" backgroundQuery="1" createdVersion="3" refreshedVersion="8" minRefreshableVersion="3" recordCount="0" supportSubquery="1" supportAdvancedDrill="1" xr:uid="{F85F2E7C-4AAE-481F-AA53-9CA100D1B1DD}">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13312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0747C-6BC3-462E-AB26-99BB5F457B2C}" name="Rep Amount" cacheId="40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A81:G10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53639-7DCD-49D7-A5AB-718F1F61EABA}" name="rep satsisfaction" cacheId="4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72:B7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69058-0CA1-4CB2-9BDC-C0EE7FBFABE2}"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8E626-5118-4CEF-BBB3-D5C40962EBA2}" name="Selected Rep pivot" cacheId="4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5:C56"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1">
    <i>
      <x/>
    </i>
  </rowItems>
  <colFields count="1">
    <field x="-2"/>
  </colFields>
  <colItems count="2">
    <i>
      <x/>
    </i>
    <i i="1">
      <x v="1"/>
    </i>
  </colItems>
  <dataFields count="2">
    <dataField fld="1" subtotal="count" baseField="0" baseItem="0"/>
    <dataField fld="2" subtotal="count" baseField="0" baseItem="0"/>
  </dataFields>
  <formats count="2">
    <format dxfId="8">
      <pivotArea dataOnly="0" labelOnly="1" fieldPosition="0">
        <references count="1">
          <reference field="0" count="0"/>
        </references>
      </pivotArea>
    </format>
    <format dxfId="9">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AF00A-C8B2-4BD1-8614-217B95394437}" name="Rep Pivot" cacheId="4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DA0360-5E31-4868-ABEF-F240DCAB88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46B402-AFE0-4C7B-B4C5-899ABA4278B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2:D6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C69D1-8A05-40F7-B71D-6B9ECB3AFC23}" name="Weekday Trend" cacheId="4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G22:H30"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BC04EA-8BC0-4148-A6A8-AEBBE83C0E4A}" name="Monthly Trend" cacheId="4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2:C35" firstHeaderRow="0" firstDataRow="1" firstDataCol="1"/>
  <pivotFields count="5">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9B1B4AD-CF63-44D2-AC2E-493200D8A8C3}" sourceName="[calls].[Representative]">
  <pivotTables>
    <pivotTable tabId="6" name="Rep Pivot"/>
    <pivotTable tabId="6" name="Monthly Trend"/>
    <pivotTable tabId="6" name="Weekday Trend"/>
    <pivotTable tabId="6" name="Selected Rep pivot"/>
    <pivotTable tabId="6" name="rep satsisfaction"/>
  </pivotTables>
  <data>
    <olap pivotCacheId="105133125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8C31CBF-825B-460E-B4EB-F9AEBB04945E}" cache="Slicer_Representative" caption="Representative"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M1003" totalsRowShown="0">
  <autoFilter ref="B3:M1003" xr:uid="{A3C59B71-D053-4B57-AB1E-899F1C5F06CA}"/>
  <tableColumns count="12">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 id="12" xr3:uid="{B07DA910-61B8-4331-AC6B-C11B443F81D3}" name="Column1"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nd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E1" zoomScale="94" zoomScaleNormal="59" workbookViewId="0">
      <selection activeCell="M4" sqref="M4:M1003"/>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3" width="10.5" customWidth="1"/>
    <col min="14" max="16" width="7.5" customWidth="1"/>
    <col min="17" max="17" width="14.625" customWidth="1"/>
    <col min="20" max="20" width="10.625" customWidth="1"/>
  </cols>
  <sheetData>
    <row r="1" spans="2:20" s="4" customFormat="1" ht="48" customHeight="1" x14ac:dyDescent="0.25">
      <c r="B1" s="5" t="s">
        <v>1002</v>
      </c>
    </row>
    <row r="2" spans="2:20" x14ac:dyDescent="0.25">
      <c r="R2" s="1"/>
    </row>
    <row r="3" spans="2:20" x14ac:dyDescent="0.25">
      <c r="B3" s="14" t="s">
        <v>25</v>
      </c>
      <c r="C3" s="14" t="s">
        <v>0</v>
      </c>
      <c r="D3" s="15" t="s">
        <v>1</v>
      </c>
      <c r="E3" s="16" t="s">
        <v>3</v>
      </c>
      <c r="F3" s="16" t="s">
        <v>4</v>
      </c>
      <c r="G3" s="14" t="s">
        <v>2</v>
      </c>
      <c r="H3" s="14" t="s">
        <v>994</v>
      </c>
      <c r="I3" t="s">
        <v>1035</v>
      </c>
      <c r="J3" t="s">
        <v>1036</v>
      </c>
      <c r="K3" t="s">
        <v>1037</v>
      </c>
      <c r="L3" t="s">
        <v>1038</v>
      </c>
      <c r="M3" t="s">
        <v>1078</v>
      </c>
      <c r="Q3" s="8" t="s">
        <v>0</v>
      </c>
      <c r="R3" s="9" t="s">
        <v>1076</v>
      </c>
      <c r="S3" s="9" t="s">
        <v>995</v>
      </c>
      <c r="T3" s="10" t="s">
        <v>996</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M4" s="29"/>
      <c r="Q4" s="6" t="s">
        <v>17</v>
      </c>
      <c r="R4" s="3" t="s">
        <v>997</v>
      </c>
      <c r="S4" s="2">
        <v>41</v>
      </c>
      <c r="T4" s="7" t="s">
        <v>999</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M5" s="29"/>
      <c r="O5">
        <v>0</v>
      </c>
      <c r="P5">
        <v>0</v>
      </c>
      <c r="Q5" s="6" t="s">
        <v>24</v>
      </c>
      <c r="R5" s="3" t="s">
        <v>997</v>
      </c>
      <c r="S5" s="2">
        <v>31</v>
      </c>
      <c r="T5" s="7" t="s">
        <v>1000</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M6" s="29"/>
      <c r="O6">
        <v>1</v>
      </c>
      <c r="P6">
        <v>0</v>
      </c>
      <c r="Q6" s="6" t="s">
        <v>20</v>
      </c>
      <c r="R6" s="3" t="s">
        <v>997</v>
      </c>
      <c r="S6" s="2">
        <v>26</v>
      </c>
      <c r="T6" s="7" t="s">
        <v>1001</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M7" s="29"/>
      <c r="O7">
        <v>2</v>
      </c>
      <c r="P7">
        <v>0</v>
      </c>
      <c r="Q7" s="6" t="s">
        <v>12</v>
      </c>
      <c r="R7" s="3" t="s">
        <v>997</v>
      </c>
      <c r="S7" s="2">
        <v>36</v>
      </c>
      <c r="T7" s="7" t="s">
        <v>1001</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M8" s="29"/>
      <c r="O8">
        <v>3</v>
      </c>
      <c r="P8">
        <v>0</v>
      </c>
      <c r="Q8" s="6" t="s">
        <v>23</v>
      </c>
      <c r="R8" s="3" t="s">
        <v>997</v>
      </c>
      <c r="S8" s="2">
        <v>37</v>
      </c>
      <c r="T8" s="7" t="s">
        <v>999</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M9" s="29"/>
      <c r="O9">
        <v>4</v>
      </c>
      <c r="P9">
        <v>0</v>
      </c>
      <c r="Q9" s="6" t="s">
        <v>7</v>
      </c>
      <c r="R9" s="3" t="s">
        <v>997</v>
      </c>
      <c r="S9" s="2">
        <v>23</v>
      </c>
      <c r="T9" s="7" t="s">
        <v>999</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M10" s="29"/>
      <c r="O10">
        <v>5</v>
      </c>
      <c r="P10">
        <v>0</v>
      </c>
      <c r="Q10" s="6" t="s">
        <v>15</v>
      </c>
      <c r="R10" s="3" t="s">
        <v>998</v>
      </c>
      <c r="S10" s="2">
        <v>22</v>
      </c>
      <c r="T10" s="7" t="s">
        <v>1000</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M11" s="29"/>
      <c r="Q11" s="6" t="s">
        <v>5</v>
      </c>
      <c r="R11" s="3" t="s">
        <v>998</v>
      </c>
      <c r="S11" s="2">
        <v>42</v>
      </c>
      <c r="T11" s="7" t="s">
        <v>1000</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M12" s="29"/>
      <c r="Q12" s="6" t="s">
        <v>22</v>
      </c>
      <c r="R12" s="3" t="s">
        <v>998</v>
      </c>
      <c r="S12" s="2">
        <v>25</v>
      </c>
      <c r="T12" s="7" t="s">
        <v>999</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M13" s="29"/>
      <c r="Q13" s="6" t="s">
        <v>18</v>
      </c>
      <c r="R13" s="3" t="s">
        <v>998</v>
      </c>
      <c r="S13" s="2">
        <v>30</v>
      </c>
      <c r="T13" s="7" t="s">
        <v>1000</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M14" s="29"/>
      <c r="Q14" s="6" t="s">
        <v>8</v>
      </c>
      <c r="R14" s="3" t="s">
        <v>998</v>
      </c>
      <c r="S14" s="2">
        <v>30</v>
      </c>
      <c r="T14" s="7" t="s">
        <v>1001</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M15" s="29"/>
      <c r="Q15" s="6" t="s">
        <v>16</v>
      </c>
      <c r="R15" s="3" t="s">
        <v>998</v>
      </c>
      <c r="S15" s="2">
        <v>28</v>
      </c>
      <c r="T15" s="7" t="s">
        <v>1001</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M16" s="29"/>
      <c r="Q16" s="6" t="s">
        <v>14</v>
      </c>
      <c r="R16" s="3" t="s">
        <v>998</v>
      </c>
      <c r="S16" s="2">
        <v>37</v>
      </c>
      <c r="T16" s="7" t="s">
        <v>1000</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M17" s="29"/>
      <c r="Q17" s="6" t="s">
        <v>21</v>
      </c>
      <c r="R17" s="3" t="s">
        <v>998</v>
      </c>
      <c r="S17" s="2">
        <v>38</v>
      </c>
      <c r="T17" s="7" t="s">
        <v>999</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M18" s="29"/>
      <c r="Q18" s="11" t="s">
        <v>19</v>
      </c>
      <c r="R18" s="19" t="s">
        <v>998</v>
      </c>
      <c r="S18" s="12">
        <v>43</v>
      </c>
      <c r="T18" s="13" t="s">
        <v>1000</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c r="M19" s="29"/>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c r="M20" s="29"/>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c r="M21" s="29"/>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c r="M22" s="29"/>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c r="M23" s="29"/>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c r="M24" s="29"/>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c r="M25" s="29"/>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c r="M26" s="29"/>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c r="M27" s="29"/>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c r="M28" s="29"/>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c r="M29" s="29"/>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c r="M30" s="29"/>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c r="M31" s="29"/>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c r="M32" s="29"/>
    </row>
    <row r="33" spans="2:13"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c r="M33" s="29"/>
    </row>
    <row r="34" spans="2:13"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c r="M34" s="29"/>
    </row>
    <row r="35" spans="2:13"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c r="M35" s="29"/>
    </row>
    <row r="36" spans="2:13"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c r="M36" s="29"/>
    </row>
    <row r="37" spans="2:13"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c r="M37" s="29"/>
    </row>
    <row r="38" spans="2:13"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c r="M38" s="29"/>
    </row>
    <row r="39" spans="2:13"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c r="M39" s="29"/>
    </row>
    <row r="40" spans="2:13"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c r="M40" s="29"/>
    </row>
    <row r="41" spans="2:13"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c r="M41" s="29"/>
    </row>
    <row r="42" spans="2:13"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c r="M42" s="29"/>
    </row>
    <row r="43" spans="2:13"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c r="M43" s="29"/>
    </row>
    <row r="44" spans="2:13"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c r="M44" s="29"/>
    </row>
    <row r="45" spans="2:13"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c r="M45" s="29"/>
    </row>
    <row r="46" spans="2:13"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c r="M46" s="29"/>
    </row>
    <row r="47" spans="2:13"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c r="M47" s="29"/>
    </row>
    <row r="48" spans="2:13"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c r="M48" s="29"/>
    </row>
    <row r="49" spans="2:13"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c r="M49" s="29"/>
    </row>
    <row r="50" spans="2:13"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c r="M50" s="29"/>
    </row>
    <row r="51" spans="2:13"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c r="M51" s="29"/>
    </row>
    <row r="52" spans="2:13"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c r="M52" s="29"/>
    </row>
    <row r="53" spans="2:13"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c r="M53" s="29"/>
    </row>
    <row r="54" spans="2:13"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c r="M54" s="29"/>
    </row>
    <row r="55" spans="2:13"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c r="M55" s="29"/>
    </row>
    <row r="56" spans="2:13"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c r="M56" s="29"/>
    </row>
    <row r="57" spans="2:13"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c r="M57" s="29"/>
    </row>
    <row r="58" spans="2:13"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c r="M58" s="29"/>
    </row>
    <row r="59" spans="2:13"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c r="M59" s="29"/>
    </row>
    <row r="60" spans="2:13"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c r="M60" s="29"/>
    </row>
    <row r="61" spans="2:13"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c r="M61" s="29"/>
    </row>
    <row r="62" spans="2:13"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c r="M62" s="29"/>
    </row>
    <row r="63" spans="2:13"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c r="M63" s="29"/>
    </row>
    <row r="64" spans="2:13"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c r="M64" s="29"/>
    </row>
    <row r="65" spans="2:13"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c r="M65" s="29"/>
    </row>
    <row r="66" spans="2:13"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c r="M66" s="29"/>
    </row>
    <row r="67" spans="2:13"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c r="M67" s="29"/>
    </row>
    <row r="68" spans="2:13"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c r="M68" s="29"/>
    </row>
    <row r="69" spans="2:13"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c r="M69" s="29"/>
    </row>
    <row r="70" spans="2:13"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c r="M70" s="29"/>
    </row>
    <row r="71" spans="2:13"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c r="M71" s="29"/>
    </row>
    <row r="72" spans="2:13"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c r="M72" s="29"/>
    </row>
    <row r="73" spans="2:13"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c r="M73" s="29"/>
    </row>
    <row r="74" spans="2:13"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c r="M74" s="29"/>
    </row>
    <row r="75" spans="2:13"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c r="M75" s="29"/>
    </row>
    <row r="76" spans="2:13"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c r="M76" s="29"/>
    </row>
    <row r="77" spans="2:13"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c r="M77" s="29"/>
    </row>
    <row r="78" spans="2:13"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c r="M78" s="29"/>
    </row>
    <row r="79" spans="2:13"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c r="M79" s="29"/>
    </row>
    <row r="80" spans="2:13"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c r="M80" s="29"/>
    </row>
    <row r="81" spans="2:13"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c r="M81" s="29"/>
    </row>
    <row r="82" spans="2:13"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c r="M82" s="29"/>
    </row>
    <row r="83" spans="2:13"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c r="M83" s="29"/>
    </row>
    <row r="84" spans="2:13"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c r="M84" s="29"/>
    </row>
    <row r="85" spans="2:13"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c r="M85" s="29"/>
    </row>
    <row r="86" spans="2:13"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c r="M86" s="29"/>
    </row>
    <row r="87" spans="2:13"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c r="M87" s="29"/>
    </row>
    <row r="88" spans="2:13"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c r="M88" s="29"/>
    </row>
    <row r="89" spans="2:13"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c r="M89" s="29"/>
    </row>
    <row r="90" spans="2:13"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c r="M90" s="29"/>
    </row>
    <row r="91" spans="2:13"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c r="M91" s="29"/>
    </row>
    <row r="92" spans="2:13"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c r="M92" s="29"/>
    </row>
    <row r="93" spans="2:13"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c r="M93" s="29"/>
    </row>
    <row r="94" spans="2:13"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c r="M94" s="29"/>
    </row>
    <row r="95" spans="2:13"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c r="M95" s="29"/>
    </row>
    <row r="96" spans="2:13"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c r="M96" s="29"/>
    </row>
    <row r="97" spans="2:13"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c r="M97" s="29"/>
    </row>
    <row r="98" spans="2:13"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c r="M98" s="29"/>
    </row>
    <row r="99" spans="2:13"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c r="M99" s="29"/>
    </row>
    <row r="100" spans="2:13"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c r="M100" s="29"/>
    </row>
    <row r="101" spans="2:13"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c r="M101" s="29"/>
    </row>
    <row r="102" spans="2:13"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c r="M102" s="29"/>
    </row>
    <row r="103" spans="2:13"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c r="M103" s="29"/>
    </row>
    <row r="104" spans="2:13"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c r="M104" s="29"/>
    </row>
    <row r="105" spans="2:13"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c r="M105" s="29"/>
    </row>
    <row r="106" spans="2:13"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c r="M106" s="29"/>
    </row>
    <row r="107" spans="2:13"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c r="M107" s="29"/>
    </row>
    <row r="108" spans="2:13"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c r="M108" s="29"/>
    </row>
    <row r="109" spans="2:13"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c r="M109" s="29"/>
    </row>
    <row r="110" spans="2:13"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c r="M110" s="29"/>
    </row>
    <row r="111" spans="2:13"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c r="M111" s="29"/>
    </row>
    <row r="112" spans="2:13"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c r="M112" s="29"/>
    </row>
    <row r="113" spans="2:13"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c r="M113" s="29"/>
    </row>
    <row r="114" spans="2:13"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c r="M114" s="29"/>
    </row>
    <row r="115" spans="2:13"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c r="M115" s="29"/>
    </row>
    <row r="116" spans="2:13"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c r="M116" s="29"/>
    </row>
    <row r="117" spans="2:13"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c r="M117" s="29"/>
    </row>
    <row r="118" spans="2:13"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c r="M118" s="29"/>
    </row>
    <row r="119" spans="2:13"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c r="M119" s="29"/>
    </row>
    <row r="120" spans="2:13"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c r="M120" s="29"/>
    </row>
    <row r="121" spans="2:13"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c r="M121" s="29"/>
    </row>
    <row r="122" spans="2:13"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c r="M122" s="29"/>
    </row>
    <row r="123" spans="2:13"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c r="M123" s="29"/>
    </row>
    <row r="124" spans="2:13"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c r="M124" s="29"/>
    </row>
    <row r="125" spans="2:13"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c r="M125" s="29"/>
    </row>
    <row r="126" spans="2:13"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c r="M126" s="29"/>
    </row>
    <row r="127" spans="2:13"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c r="M127" s="29"/>
    </row>
    <row r="128" spans="2:13"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c r="M128" s="29"/>
    </row>
    <row r="129" spans="2:13"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c r="M129" s="29"/>
    </row>
    <row r="130" spans="2:13"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c r="M130" s="29"/>
    </row>
    <row r="131" spans="2:13"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c r="M131" s="29"/>
    </row>
    <row r="132" spans="2:13"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c r="M132" s="29"/>
    </row>
    <row r="133" spans="2:13"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c r="M133" s="29"/>
    </row>
    <row r="134" spans="2:13"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c r="M134" s="29"/>
    </row>
    <row r="135" spans="2:13"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c r="M135" s="29"/>
    </row>
    <row r="136" spans="2:13"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c r="M136" s="29"/>
    </row>
    <row r="137" spans="2:13"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c r="M137" s="29"/>
    </row>
    <row r="138" spans="2:13"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c r="M138" s="29"/>
    </row>
    <row r="139" spans="2:13"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c r="M139" s="29"/>
    </row>
    <row r="140" spans="2:13"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c r="M140" s="29"/>
    </row>
    <row r="141" spans="2:13"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c r="M141" s="29"/>
    </row>
    <row r="142" spans="2:13"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c r="M142" s="29"/>
    </row>
    <row r="143" spans="2:13"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c r="M143" s="29"/>
    </row>
    <row r="144" spans="2:13"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c r="M144" s="29"/>
    </row>
    <row r="145" spans="2:13"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c r="M145" s="29"/>
    </row>
    <row r="146" spans="2:13"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c r="M146" s="29"/>
    </row>
    <row r="147" spans="2:13"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c r="M147" s="29"/>
    </row>
    <row r="148" spans="2:13"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c r="M148" s="29"/>
    </row>
    <row r="149" spans="2:13"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c r="M149" s="29"/>
    </row>
    <row r="150" spans="2:13"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c r="M150" s="29"/>
    </row>
    <row r="151" spans="2:13"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c r="M151" s="29"/>
    </row>
    <row r="152" spans="2:13"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c r="M152" s="29"/>
    </row>
    <row r="153" spans="2:13"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c r="M153" s="29"/>
    </row>
    <row r="154" spans="2:13"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c r="M154" s="29"/>
    </row>
    <row r="155" spans="2:13"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c r="M155" s="29"/>
    </row>
    <row r="156" spans="2:13"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c r="M156" s="29"/>
    </row>
    <row r="157" spans="2:13"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c r="M157" s="29"/>
    </row>
    <row r="158" spans="2:13"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c r="M158" s="29"/>
    </row>
    <row r="159" spans="2:13"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c r="M159" s="29"/>
    </row>
    <row r="160" spans="2:13"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c r="M160" s="29"/>
    </row>
    <row r="161" spans="2:13"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c r="M161" s="29"/>
    </row>
    <row r="162" spans="2:13"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c r="M162" s="29"/>
    </row>
    <row r="163" spans="2:13"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c r="M163" s="29"/>
    </row>
    <row r="164" spans="2:13"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c r="M164" s="29"/>
    </row>
    <row r="165" spans="2:13"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c r="M165" s="29"/>
    </row>
    <row r="166" spans="2:13"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c r="M166" s="29"/>
    </row>
    <row r="167" spans="2:13"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c r="M167" s="29"/>
    </row>
    <row r="168" spans="2:13"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c r="M168" s="29"/>
    </row>
    <row r="169" spans="2:13"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c r="M169" s="29"/>
    </row>
    <row r="170" spans="2:13"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c r="M170" s="29"/>
    </row>
    <row r="171" spans="2:13"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c r="M171" s="29"/>
    </row>
    <row r="172" spans="2:13"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c r="M172" s="29"/>
    </row>
    <row r="173" spans="2:13"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c r="M173" s="29"/>
    </row>
    <row r="174" spans="2:13"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c r="M174" s="29"/>
    </row>
    <row r="175" spans="2:13"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c r="M175" s="29"/>
    </row>
    <row r="176" spans="2:13"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c r="M176" s="29"/>
    </row>
    <row r="177" spans="2:13"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c r="M177" s="29"/>
    </row>
    <row r="178" spans="2:13"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c r="M178" s="29"/>
    </row>
    <row r="179" spans="2:13"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c r="M179" s="29"/>
    </row>
    <row r="180" spans="2:13"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c r="M180" s="29"/>
    </row>
    <row r="181" spans="2:13"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c r="M181" s="29"/>
    </row>
    <row r="182" spans="2:13"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c r="M182" s="29"/>
    </row>
    <row r="183" spans="2:13"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c r="M183" s="29"/>
    </row>
    <row r="184" spans="2:13"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c r="M184" s="29"/>
    </row>
    <row r="185" spans="2:13"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c r="M185" s="29"/>
    </row>
    <row r="186" spans="2:13"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c r="M186" s="29"/>
    </row>
    <row r="187" spans="2:13"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c r="M187" s="29"/>
    </row>
    <row r="188" spans="2:13"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c r="M188" s="29"/>
    </row>
    <row r="189" spans="2:13"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c r="M189" s="29"/>
    </row>
    <row r="190" spans="2:13"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c r="M190" s="29"/>
    </row>
    <row r="191" spans="2:13"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c r="M191" s="29"/>
    </row>
    <row r="192" spans="2:13"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c r="M192" s="29"/>
    </row>
    <row r="193" spans="2:13"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c r="M193" s="29"/>
    </row>
    <row r="194" spans="2:13"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c r="M194" s="29"/>
    </row>
    <row r="195" spans="2:13"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c r="M195" s="29"/>
    </row>
    <row r="196" spans="2:13"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c r="M196" s="29"/>
    </row>
    <row r="197" spans="2:13"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c r="M197" s="29"/>
    </row>
    <row r="198" spans="2:13"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c r="M198" s="29"/>
    </row>
    <row r="199" spans="2:13"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c r="M199" s="29"/>
    </row>
    <row r="200" spans="2:13"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c r="M200" s="29"/>
    </row>
    <row r="201" spans="2:13"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c r="M201" s="29"/>
    </row>
    <row r="202" spans="2:13"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c r="M202" s="29"/>
    </row>
    <row r="203" spans="2:13"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c r="M203" s="29"/>
    </row>
    <row r="204" spans="2:13"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c r="M204" s="29"/>
    </row>
    <row r="205" spans="2:13"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c r="M205" s="29"/>
    </row>
    <row r="206" spans="2:13"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c r="M206" s="29"/>
    </row>
    <row r="207" spans="2:13"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c r="M207" s="29"/>
    </row>
    <row r="208" spans="2:13"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c r="M208" s="29"/>
    </row>
    <row r="209" spans="2:13"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c r="M209" s="29"/>
    </row>
    <row r="210" spans="2:13"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c r="M210" s="29"/>
    </row>
    <row r="211" spans="2:13"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c r="M211" s="29"/>
    </row>
    <row r="212" spans="2:13"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c r="M212" s="29"/>
    </row>
    <row r="213" spans="2:13"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c r="M213" s="29"/>
    </row>
    <row r="214" spans="2:13"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c r="M214" s="29"/>
    </row>
    <row r="215" spans="2:13"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c r="M215" s="29"/>
    </row>
    <row r="216" spans="2:13"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c r="M216" s="29"/>
    </row>
    <row r="217" spans="2:13"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c r="M217" s="29"/>
    </row>
    <row r="218" spans="2:13"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c r="M218" s="29"/>
    </row>
    <row r="219" spans="2:13"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c r="M219" s="29"/>
    </row>
    <row r="220" spans="2:13"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c r="M220" s="29"/>
    </row>
    <row r="221" spans="2:13"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c r="M221" s="29"/>
    </row>
    <row r="222" spans="2:13"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c r="M222" s="29"/>
    </row>
    <row r="223" spans="2:13"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c r="M223" s="29"/>
    </row>
    <row r="224" spans="2:13"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c r="M224" s="29"/>
    </row>
    <row r="225" spans="2:13"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c r="M225" s="29"/>
    </row>
    <row r="226" spans="2:13"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c r="M226" s="29"/>
    </row>
    <row r="227" spans="2:13"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c r="M227" s="29"/>
    </row>
    <row r="228" spans="2:13"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c r="M228" s="29"/>
    </row>
    <row r="229" spans="2:13"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c r="M229" s="29"/>
    </row>
    <row r="230" spans="2:13"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c r="M230" s="29"/>
    </row>
    <row r="231" spans="2:13"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c r="M231" s="29"/>
    </row>
    <row r="232" spans="2:13"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c r="M232" s="29"/>
    </row>
    <row r="233" spans="2:13"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c r="M233" s="29"/>
    </row>
    <row r="234" spans="2:13"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c r="M234" s="29"/>
    </row>
    <row r="235" spans="2:13"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c r="M235" s="29"/>
    </row>
    <row r="236" spans="2:13"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c r="M236" s="29"/>
    </row>
    <row r="237" spans="2:13"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c r="M237" s="29"/>
    </row>
    <row r="238" spans="2:13"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c r="M238" s="29"/>
    </row>
    <row r="239" spans="2:13"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c r="M239" s="29"/>
    </row>
    <row r="240" spans="2:13"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c r="M240" s="29"/>
    </row>
    <row r="241" spans="2:13"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c r="M241" s="29"/>
    </row>
    <row r="242" spans="2:13"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c r="M242" s="29"/>
    </row>
    <row r="243" spans="2:13"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c r="M243" s="29"/>
    </row>
    <row r="244" spans="2:13"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c r="M244" s="29"/>
    </row>
    <row r="245" spans="2:13"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c r="M245" s="29"/>
    </row>
    <row r="246" spans="2:13"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c r="M246" s="29"/>
    </row>
    <row r="247" spans="2:13"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c r="M247" s="29"/>
    </row>
    <row r="248" spans="2:13"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c r="M248" s="29"/>
    </row>
    <row r="249" spans="2:13"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c r="M249" s="29"/>
    </row>
    <row r="250" spans="2:13"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c r="M250" s="29"/>
    </row>
    <row r="251" spans="2:13"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c r="M251" s="29"/>
    </row>
    <row r="252" spans="2:13"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c r="M252" s="29"/>
    </row>
    <row r="253" spans="2:13"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c r="M253" s="29"/>
    </row>
    <row r="254" spans="2:13"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c r="M254" s="29"/>
    </row>
    <row r="255" spans="2:13"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c r="M255" s="29"/>
    </row>
    <row r="256" spans="2:13"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c r="M256" s="29"/>
    </row>
    <row r="257" spans="2:13"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c r="M257" s="29"/>
    </row>
    <row r="258" spans="2:13"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c r="M258" s="29"/>
    </row>
    <row r="259" spans="2:13"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c r="M259" s="29"/>
    </row>
    <row r="260" spans="2:13"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c r="M260" s="29"/>
    </row>
    <row r="261" spans="2:13"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c r="M261" s="29"/>
    </row>
    <row r="262" spans="2:13"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c r="M262" s="29"/>
    </row>
    <row r="263" spans="2:13"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c r="M263" s="29"/>
    </row>
    <row r="264" spans="2:13"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c r="M264" s="29"/>
    </row>
    <row r="265" spans="2:13"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c r="M265" s="29"/>
    </row>
    <row r="266" spans="2:13"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c r="M266" s="29"/>
    </row>
    <row r="267" spans="2:13"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c r="M267" s="29"/>
    </row>
    <row r="268" spans="2:13"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c r="M268" s="29"/>
    </row>
    <row r="269" spans="2:13"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c r="M269" s="29"/>
    </row>
    <row r="270" spans="2:13"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c r="M270" s="29"/>
    </row>
    <row r="271" spans="2:13"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c r="M271" s="29"/>
    </row>
    <row r="272" spans="2:13"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c r="M272" s="29"/>
    </row>
    <row r="273" spans="2:13"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c r="M273" s="29"/>
    </row>
    <row r="274" spans="2:13"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c r="M274" s="29"/>
    </row>
    <row r="275" spans="2:13"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c r="M275" s="29"/>
    </row>
    <row r="276" spans="2:13"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c r="M276" s="29"/>
    </row>
    <row r="277" spans="2:13"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c r="M277" s="29"/>
    </row>
    <row r="278" spans="2:13"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c r="M278" s="29"/>
    </row>
    <row r="279" spans="2:13"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c r="M279" s="29"/>
    </row>
    <row r="280" spans="2:13"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c r="M280" s="29"/>
    </row>
    <row r="281" spans="2:13"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c r="M281" s="29"/>
    </row>
    <row r="282" spans="2:13"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c r="M282" s="29"/>
    </row>
    <row r="283" spans="2:13"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c r="M283" s="29"/>
    </row>
    <row r="284" spans="2:13"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c r="M284" s="29"/>
    </row>
    <row r="285" spans="2:13"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c r="M285" s="29"/>
    </row>
    <row r="286" spans="2:13"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c r="M286" s="29"/>
    </row>
    <row r="287" spans="2:13"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c r="M287" s="29"/>
    </row>
    <row r="288" spans="2:13"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c r="M288" s="29"/>
    </row>
    <row r="289" spans="2:13"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c r="M289" s="29"/>
    </row>
    <row r="290" spans="2:13"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c r="M290" s="29"/>
    </row>
    <row r="291" spans="2:13"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c r="M291" s="29"/>
    </row>
    <row r="292" spans="2:13"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c r="M292" s="29"/>
    </row>
    <row r="293" spans="2:13"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c r="M293" s="29"/>
    </row>
    <row r="294" spans="2:13"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c r="M294" s="29"/>
    </row>
    <row r="295" spans="2:13"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c r="M295" s="29"/>
    </row>
    <row r="296" spans="2:13"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c r="M296" s="29"/>
    </row>
    <row r="297" spans="2:13"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c r="M297" s="29"/>
    </row>
    <row r="298" spans="2:13"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c r="M298" s="29"/>
    </row>
    <row r="299" spans="2:13"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c r="M299" s="29"/>
    </row>
    <row r="300" spans="2:13"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c r="M300" s="29"/>
    </row>
    <row r="301" spans="2:13"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c r="M301" s="29"/>
    </row>
    <row r="302" spans="2:13"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c r="M302" s="29"/>
    </row>
    <row r="303" spans="2:13"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c r="M303" s="29"/>
    </row>
    <row r="304" spans="2:13"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c r="M304" s="29"/>
    </row>
    <row r="305" spans="2:13"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c r="M305" s="29"/>
    </row>
    <row r="306" spans="2:13"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c r="M306" s="29"/>
    </row>
    <row r="307" spans="2:13"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c r="M307" s="29"/>
    </row>
    <row r="308" spans="2:13"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c r="M308" s="29"/>
    </row>
    <row r="309" spans="2:13"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c r="M309" s="29"/>
    </row>
    <row r="310" spans="2:13"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c r="M310" s="29"/>
    </row>
    <row r="311" spans="2:13"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c r="M311" s="29"/>
    </row>
    <row r="312" spans="2:13"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c r="M312" s="29"/>
    </row>
    <row r="313" spans="2:13"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c r="M313" s="29"/>
    </row>
    <row r="314" spans="2:13"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c r="M314" s="29"/>
    </row>
    <row r="315" spans="2:13"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c r="M315" s="29"/>
    </row>
    <row r="316" spans="2:13"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c r="M316" s="29"/>
    </row>
    <row r="317" spans="2:13"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c r="M317" s="29"/>
    </row>
    <row r="318" spans="2:13"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c r="M318" s="29"/>
    </row>
    <row r="319" spans="2:13"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c r="M319" s="29"/>
    </row>
    <row r="320" spans="2:13"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c r="M320" s="29"/>
    </row>
    <row r="321" spans="2:13"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c r="M321" s="29"/>
    </row>
    <row r="322" spans="2:13"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c r="M322" s="29"/>
    </row>
    <row r="323" spans="2:13"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c r="M323" s="29"/>
    </row>
    <row r="324" spans="2:13"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c r="M324" s="29"/>
    </row>
    <row r="325" spans="2:13"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c r="M325" s="29"/>
    </row>
    <row r="326" spans="2:13"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c r="M326" s="29"/>
    </row>
    <row r="327" spans="2:13"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c r="M327" s="29"/>
    </row>
    <row r="328" spans="2:13"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c r="M328" s="29"/>
    </row>
    <row r="329" spans="2:13"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c r="M329" s="29"/>
    </row>
    <row r="330" spans="2:13"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c r="M330" s="29"/>
    </row>
    <row r="331" spans="2:13"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c r="M331" s="29"/>
    </row>
    <row r="332" spans="2:13"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c r="M332" s="29"/>
    </row>
    <row r="333" spans="2:13"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c r="M333" s="29"/>
    </row>
    <row r="334" spans="2:13"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c r="M334" s="29"/>
    </row>
    <row r="335" spans="2:13"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c r="M335" s="29"/>
    </row>
    <row r="336" spans="2:13"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c r="M336" s="29"/>
    </row>
    <row r="337" spans="2:13"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c r="M337" s="29"/>
    </row>
    <row r="338" spans="2:13"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c r="M338" s="29"/>
    </row>
    <row r="339" spans="2:13"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c r="M339" s="29"/>
    </row>
    <row r="340" spans="2:13"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c r="M340" s="29"/>
    </row>
    <row r="341" spans="2:13"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c r="M341" s="29"/>
    </row>
    <row r="342" spans="2:13"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c r="M342" s="29"/>
    </row>
    <row r="343" spans="2:13"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c r="M343" s="29"/>
    </row>
    <row r="344" spans="2:13"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c r="M344" s="29"/>
    </row>
    <row r="345" spans="2:13"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c r="M345" s="29"/>
    </row>
    <row r="346" spans="2:13"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c r="M346" s="29"/>
    </row>
    <row r="347" spans="2:13"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c r="M347" s="29"/>
    </row>
    <row r="348" spans="2:13"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c r="M348" s="29"/>
    </row>
    <row r="349" spans="2:13"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c r="M349" s="29"/>
    </row>
    <row r="350" spans="2:13"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c r="M350" s="29"/>
    </row>
    <row r="351" spans="2:13"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c r="M351" s="29"/>
    </row>
    <row r="352" spans="2:13"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c r="M352" s="29"/>
    </row>
    <row r="353" spans="2:13"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c r="M353" s="29"/>
    </row>
    <row r="354" spans="2:13"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c r="M354" s="29"/>
    </row>
    <row r="355" spans="2:13"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c r="M355" s="29"/>
    </row>
    <row r="356" spans="2:13"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c r="M356" s="29"/>
    </row>
    <row r="357" spans="2:13"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c r="M357" s="29"/>
    </row>
    <row r="358" spans="2:13"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c r="M358" s="29"/>
    </row>
    <row r="359" spans="2:13"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c r="M359" s="29"/>
    </row>
    <row r="360" spans="2:13"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c r="M360" s="29"/>
    </row>
    <row r="361" spans="2:13"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c r="M361" s="29"/>
    </row>
    <row r="362" spans="2:13"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c r="M362" s="29"/>
    </row>
    <row r="363" spans="2:13"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c r="M363" s="29"/>
    </row>
    <row r="364" spans="2:13"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c r="M364" s="29"/>
    </row>
    <row r="365" spans="2:13"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c r="M365" s="29"/>
    </row>
    <row r="366" spans="2:13"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c r="M366" s="29"/>
    </row>
    <row r="367" spans="2:13"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c r="M367" s="29"/>
    </row>
    <row r="368" spans="2:13"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c r="M368" s="29"/>
    </row>
    <row r="369" spans="2:13"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c r="M369" s="29"/>
    </row>
    <row r="370" spans="2:13"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c r="M370" s="29"/>
    </row>
    <row r="371" spans="2:13"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c r="M371" s="29"/>
    </row>
    <row r="372" spans="2:13"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c r="M372" s="29"/>
    </row>
    <row r="373" spans="2:13"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c r="M373" s="29"/>
    </row>
    <row r="374" spans="2:13"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c r="M374" s="29"/>
    </row>
    <row r="375" spans="2:13"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c r="M375" s="29"/>
    </row>
    <row r="376" spans="2:13"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c r="M376" s="29"/>
    </row>
    <row r="377" spans="2:13"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c r="M377" s="29"/>
    </row>
    <row r="378" spans="2:13"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c r="M378" s="29"/>
    </row>
    <row r="379" spans="2:13"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c r="M379" s="29"/>
    </row>
    <row r="380" spans="2:13"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c r="M380" s="29"/>
    </row>
    <row r="381" spans="2:13"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c r="M381" s="29"/>
    </row>
    <row r="382" spans="2:13"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c r="M382" s="29"/>
    </row>
    <row r="383" spans="2:13"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c r="M383" s="29"/>
    </row>
    <row r="384" spans="2:13"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c r="M384" s="29"/>
    </row>
    <row r="385" spans="2:13"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c r="M385" s="29"/>
    </row>
    <row r="386" spans="2:13"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c r="M386" s="29"/>
    </row>
    <row r="387" spans="2:13"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c r="M387" s="29"/>
    </row>
    <row r="388" spans="2:13"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c r="M388" s="29"/>
    </row>
    <row r="389" spans="2:13"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c r="M389" s="29"/>
    </row>
    <row r="390" spans="2:13"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c r="M390" s="29"/>
    </row>
    <row r="391" spans="2:13"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c r="M391" s="29"/>
    </row>
    <row r="392" spans="2:13"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c r="M392" s="29"/>
    </row>
    <row r="393" spans="2:13"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c r="M393" s="29"/>
    </row>
    <row r="394" spans="2:13"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c r="M394" s="29"/>
    </row>
    <row r="395" spans="2:13"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c r="M395" s="29"/>
    </row>
    <row r="396" spans="2:13"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c r="M396" s="29"/>
    </row>
    <row r="397" spans="2:13"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c r="M397" s="29"/>
    </row>
    <row r="398" spans="2:13"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c r="M398" s="29"/>
    </row>
    <row r="399" spans="2:13"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c r="M399" s="29"/>
    </row>
    <row r="400" spans="2:13"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c r="M400" s="29"/>
    </row>
    <row r="401" spans="2:13"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c r="M401" s="29"/>
    </row>
    <row r="402" spans="2:13"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c r="M402" s="29"/>
    </row>
    <row r="403" spans="2:13"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c r="M403" s="29"/>
    </row>
    <row r="404" spans="2:13"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c r="M404" s="29"/>
    </row>
    <row r="405" spans="2:13"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c r="M405" s="29"/>
    </row>
    <row r="406" spans="2:13"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c r="M406" s="29"/>
    </row>
    <row r="407" spans="2:13"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c r="M407" s="29"/>
    </row>
    <row r="408" spans="2:13"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c r="M408" s="29"/>
    </row>
    <row r="409" spans="2:13"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c r="M409" s="29"/>
    </row>
    <row r="410" spans="2:13"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c r="M410" s="29"/>
    </row>
    <row r="411" spans="2:13"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c r="M411" s="29"/>
    </row>
    <row r="412" spans="2:13"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c r="M412" s="29"/>
    </row>
    <row r="413" spans="2:13"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c r="M413" s="29"/>
    </row>
    <row r="414" spans="2:13"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c r="M414" s="29"/>
    </row>
    <row r="415" spans="2:13"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c r="M415" s="29"/>
    </row>
    <row r="416" spans="2:13"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c r="M416" s="29"/>
    </row>
    <row r="417" spans="2:13"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c r="M417" s="29"/>
    </row>
    <row r="418" spans="2:13"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c r="M418" s="29"/>
    </row>
    <row r="419" spans="2:13"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c r="M419" s="29"/>
    </row>
    <row r="420" spans="2:13"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c r="M420" s="29"/>
    </row>
    <row r="421" spans="2:13"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c r="M421" s="29"/>
    </row>
    <row r="422" spans="2:13"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c r="M422" s="29"/>
    </row>
    <row r="423" spans="2:13"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c r="M423" s="29"/>
    </row>
    <row r="424" spans="2:13"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c r="M424" s="29"/>
    </row>
    <row r="425" spans="2:13"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c r="M425" s="29"/>
    </row>
    <row r="426" spans="2:13"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c r="M426" s="29"/>
    </row>
    <row r="427" spans="2:13"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c r="M427" s="29"/>
    </row>
    <row r="428" spans="2:13"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c r="M428" s="29"/>
    </row>
    <row r="429" spans="2:13"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c r="M429" s="29"/>
    </row>
    <row r="430" spans="2:13"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c r="M430" s="29"/>
    </row>
    <row r="431" spans="2:13"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c r="M431" s="29"/>
    </row>
    <row r="432" spans="2:13"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c r="M432" s="29"/>
    </row>
    <row r="433" spans="2:13"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c r="M433" s="29"/>
    </row>
    <row r="434" spans="2:13"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c r="M434" s="29"/>
    </row>
    <row r="435" spans="2:13"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c r="M435" s="29"/>
    </row>
    <row r="436" spans="2:13"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c r="M436" s="29"/>
    </row>
    <row r="437" spans="2:13"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c r="M437" s="29"/>
    </row>
    <row r="438" spans="2:13"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c r="M438" s="29"/>
    </row>
    <row r="439" spans="2:13"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c r="M439" s="29"/>
    </row>
    <row r="440" spans="2:13"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c r="M440" s="29"/>
    </row>
    <row r="441" spans="2:13"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c r="M441" s="29"/>
    </row>
    <row r="442" spans="2:13"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c r="M442" s="29"/>
    </row>
    <row r="443" spans="2:13"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c r="M443" s="29"/>
    </row>
    <row r="444" spans="2:13"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c r="M444" s="29"/>
    </row>
    <row r="445" spans="2:13"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c r="M445" s="29"/>
    </row>
    <row r="446" spans="2:13"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c r="M446" s="29"/>
    </row>
    <row r="447" spans="2:13"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c r="M447" s="29"/>
    </row>
    <row r="448" spans="2:13"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c r="M448" s="29"/>
    </row>
    <row r="449" spans="2:13"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c r="M449" s="29"/>
    </row>
    <row r="450" spans="2:13"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c r="M450" s="29"/>
    </row>
    <row r="451" spans="2:13"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c r="M451" s="29"/>
    </row>
    <row r="452" spans="2:13"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c r="M452" s="29"/>
    </row>
    <row r="453" spans="2:13"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c r="M453" s="29"/>
    </row>
    <row r="454" spans="2:13"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c r="M454" s="29"/>
    </row>
    <row r="455" spans="2:13"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c r="M455" s="29"/>
    </row>
    <row r="456" spans="2:13"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c r="M456" s="29"/>
    </row>
    <row r="457" spans="2:13"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c r="M457" s="29"/>
    </row>
    <row r="458" spans="2:13"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c r="M458" s="29"/>
    </row>
    <row r="459" spans="2:13"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c r="M459" s="29"/>
    </row>
    <row r="460" spans="2:13"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c r="M460" s="29"/>
    </row>
    <row r="461" spans="2:13"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c r="M461" s="29"/>
    </row>
    <row r="462" spans="2:13"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c r="M462" s="29"/>
    </row>
    <row r="463" spans="2:13"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c r="M463" s="29"/>
    </row>
    <row r="464" spans="2:13"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c r="M464" s="29"/>
    </row>
    <row r="465" spans="2:13"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c r="M465" s="29"/>
    </row>
    <row r="466" spans="2:13"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c r="M466" s="29"/>
    </row>
    <row r="467" spans="2:13"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c r="M467" s="29"/>
    </row>
    <row r="468" spans="2:13"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c r="M468" s="29"/>
    </row>
    <row r="469" spans="2:13"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c r="M469" s="29"/>
    </row>
    <row r="470" spans="2:13"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c r="M470" s="29"/>
    </row>
    <row r="471" spans="2:13"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c r="M471" s="29"/>
    </row>
    <row r="472" spans="2:13"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c r="M472" s="29"/>
    </row>
    <row r="473" spans="2:13"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c r="M473" s="29"/>
    </row>
    <row r="474" spans="2:13"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c r="M474" s="29"/>
    </row>
    <row r="475" spans="2:13"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c r="M475" s="29"/>
    </row>
    <row r="476" spans="2:13"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c r="M476" s="29"/>
    </row>
    <row r="477" spans="2:13"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c r="M477" s="29"/>
    </row>
    <row r="478" spans="2:13"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c r="M478" s="29"/>
    </row>
    <row r="479" spans="2:13"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c r="M479" s="29"/>
    </row>
    <row r="480" spans="2:13"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c r="M480" s="29"/>
    </row>
    <row r="481" spans="2:13"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c r="M481" s="29"/>
    </row>
    <row r="482" spans="2:13"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c r="M482" s="29"/>
    </row>
    <row r="483" spans="2:13"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c r="M483" s="29"/>
    </row>
    <row r="484" spans="2:13"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c r="M484" s="29"/>
    </row>
    <row r="485" spans="2:13"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c r="M485" s="29"/>
    </row>
    <row r="486" spans="2:13"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c r="M486" s="29"/>
    </row>
    <row r="487" spans="2:13"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c r="M487" s="29"/>
    </row>
    <row r="488" spans="2:13"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c r="M488" s="29"/>
    </row>
    <row r="489" spans="2:13"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c r="M489" s="29"/>
    </row>
    <row r="490" spans="2:13"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c r="M490" s="29"/>
    </row>
    <row r="491" spans="2:13"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c r="M491" s="29"/>
    </row>
    <row r="492" spans="2:13"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c r="M492" s="29"/>
    </row>
    <row r="493" spans="2:13"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c r="M493" s="29"/>
    </row>
    <row r="494" spans="2:13"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c r="M494" s="29"/>
    </row>
    <row r="495" spans="2:13"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c r="M495" s="29"/>
    </row>
    <row r="496" spans="2:13"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c r="M496" s="29"/>
    </row>
    <row r="497" spans="2:13"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c r="M497" s="29"/>
    </row>
    <row r="498" spans="2:13"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c r="M498" s="29"/>
    </row>
    <row r="499" spans="2:13"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c r="M499" s="29"/>
    </row>
    <row r="500" spans="2:13"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c r="M500" s="29"/>
    </row>
    <row r="501" spans="2:13"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c r="M501" s="29"/>
    </row>
    <row r="502" spans="2:13"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c r="M502" s="29"/>
    </row>
    <row r="503" spans="2:13"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c r="M503" s="29"/>
    </row>
    <row r="504" spans="2:13"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c r="M504" s="29"/>
    </row>
    <row r="505" spans="2:13"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c r="M505" s="29"/>
    </row>
    <row r="506" spans="2:13"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c r="M506" s="29"/>
    </row>
    <row r="507" spans="2:13"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c r="M507" s="29"/>
    </row>
    <row r="508" spans="2:13"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c r="M508" s="29"/>
    </row>
    <row r="509" spans="2:13"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c r="M509" s="29"/>
    </row>
    <row r="510" spans="2:13"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c r="M510" s="29"/>
    </row>
    <row r="511" spans="2:13"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c r="M511" s="29"/>
    </row>
    <row r="512" spans="2:13"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c r="M512" s="29"/>
    </row>
    <row r="513" spans="2:13"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c r="M513" s="29"/>
    </row>
    <row r="514" spans="2:13"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c r="M514" s="29"/>
    </row>
    <row r="515" spans="2:13"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c r="M515" s="29"/>
    </row>
    <row r="516" spans="2:13"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c r="M516" s="29"/>
    </row>
    <row r="517" spans="2:13"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c r="M517" s="29"/>
    </row>
    <row r="518" spans="2:13"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c r="M518" s="29"/>
    </row>
    <row r="519" spans="2:13"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c r="M519" s="29"/>
    </row>
    <row r="520" spans="2:13"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c r="M520" s="29"/>
    </row>
    <row r="521" spans="2:13"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c r="M521" s="29"/>
    </row>
    <row r="522" spans="2:13"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c r="M522" s="29"/>
    </row>
    <row r="523" spans="2:13"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c r="M523" s="29"/>
    </row>
    <row r="524" spans="2:13"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c r="M524" s="29"/>
    </row>
    <row r="525" spans="2:13"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c r="M525" s="29"/>
    </row>
    <row r="526" spans="2:13"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c r="M526" s="29"/>
    </row>
    <row r="527" spans="2:13"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c r="M527" s="29"/>
    </row>
    <row r="528" spans="2:13"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c r="M528" s="29"/>
    </row>
    <row r="529" spans="2:13"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c r="M529" s="29"/>
    </row>
    <row r="530" spans="2:13"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c r="M530" s="29"/>
    </row>
    <row r="531" spans="2:13"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c r="M531" s="29"/>
    </row>
    <row r="532" spans="2:13"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c r="M532" s="29"/>
    </row>
    <row r="533" spans="2:13"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c r="M533" s="29"/>
    </row>
    <row r="534" spans="2:13"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c r="M534" s="29"/>
    </row>
    <row r="535" spans="2:13"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c r="M535" s="29"/>
    </row>
    <row r="536" spans="2:13"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c r="M536" s="29"/>
    </row>
    <row r="537" spans="2:13"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c r="M537" s="29"/>
    </row>
    <row r="538" spans="2:13"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c r="M538" s="29"/>
    </row>
    <row r="539" spans="2:13"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c r="M539" s="29"/>
    </row>
    <row r="540" spans="2:13"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c r="M540" s="29"/>
    </row>
    <row r="541" spans="2:13"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c r="M541" s="29"/>
    </row>
    <row r="542" spans="2:13"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c r="M542" s="29"/>
    </row>
    <row r="543" spans="2:13"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c r="M543" s="29"/>
    </row>
    <row r="544" spans="2:13"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c r="M544" s="29"/>
    </row>
    <row r="545" spans="2:13"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c r="M545" s="29"/>
    </row>
    <row r="546" spans="2:13"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c r="M546" s="29"/>
    </row>
    <row r="547" spans="2:13"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c r="M547" s="29"/>
    </row>
    <row r="548" spans="2:13"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c r="M548" s="29"/>
    </row>
    <row r="549" spans="2:13"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c r="M549" s="29"/>
    </row>
    <row r="550" spans="2:13"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c r="M550" s="29"/>
    </row>
    <row r="551" spans="2:13"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c r="M551" s="29"/>
    </row>
    <row r="552" spans="2:13"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c r="M552" s="29"/>
    </row>
    <row r="553" spans="2:13"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c r="M553" s="29"/>
    </row>
    <row r="554" spans="2:13"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c r="M554" s="29"/>
    </row>
    <row r="555" spans="2:13"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c r="M555" s="29"/>
    </row>
    <row r="556" spans="2:13"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c r="M556" s="29"/>
    </row>
    <row r="557" spans="2:13"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c r="M557" s="29"/>
    </row>
    <row r="558" spans="2:13"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c r="M558" s="29"/>
    </row>
    <row r="559" spans="2:13"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c r="M559" s="29"/>
    </row>
    <row r="560" spans="2:13"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c r="M560" s="29"/>
    </row>
    <row r="561" spans="2:13"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c r="M561" s="29"/>
    </row>
    <row r="562" spans="2:13"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c r="M562" s="29"/>
    </row>
    <row r="563" spans="2:13"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c r="M563" s="29"/>
    </row>
    <row r="564" spans="2:13"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c r="M564" s="29"/>
    </row>
    <row r="565" spans="2:13"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c r="M565" s="29"/>
    </row>
    <row r="566" spans="2:13"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c r="M566" s="29"/>
    </row>
    <row r="567" spans="2:13"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c r="M567" s="29"/>
    </row>
    <row r="568" spans="2:13"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c r="M568" s="29"/>
    </row>
    <row r="569" spans="2:13"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c r="M569" s="29"/>
    </row>
    <row r="570" spans="2:13"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c r="M570" s="29"/>
    </row>
    <row r="571" spans="2:13"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c r="M571" s="29"/>
    </row>
    <row r="572" spans="2:13"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c r="M572" s="29"/>
    </row>
    <row r="573" spans="2:13"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c r="M573" s="29"/>
    </row>
    <row r="574" spans="2:13"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c r="M574" s="29"/>
    </row>
    <row r="575" spans="2:13"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c r="M575" s="29"/>
    </row>
    <row r="576" spans="2:13"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c r="M576" s="29"/>
    </row>
    <row r="577" spans="2:13"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c r="M577" s="29"/>
    </row>
    <row r="578" spans="2:13"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c r="M578" s="29"/>
    </row>
    <row r="579" spans="2:13"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c r="M579" s="29"/>
    </row>
    <row r="580" spans="2:13"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c r="M580" s="29"/>
    </row>
    <row r="581" spans="2:13"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c r="M581" s="29"/>
    </row>
    <row r="582" spans="2:13"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c r="M582" s="29"/>
    </row>
    <row r="583" spans="2:13"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c r="M583" s="29"/>
    </row>
    <row r="584" spans="2:13"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c r="M584" s="29"/>
    </row>
    <row r="585" spans="2:13"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c r="M585" s="29"/>
    </row>
    <row r="586" spans="2:13"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c r="M586" s="29"/>
    </row>
    <row r="587" spans="2:13"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c r="M587" s="29"/>
    </row>
    <row r="588" spans="2:13"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c r="M588" s="29"/>
    </row>
    <row r="589" spans="2:13"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c r="M589" s="29"/>
    </row>
    <row r="590" spans="2:13"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c r="M590" s="29"/>
    </row>
    <row r="591" spans="2:13"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c r="M591" s="29"/>
    </row>
    <row r="592" spans="2:13"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c r="M592" s="29"/>
    </row>
    <row r="593" spans="2:13"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c r="M593" s="29"/>
    </row>
    <row r="594" spans="2:13"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c r="M594" s="29"/>
    </row>
    <row r="595" spans="2:13"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c r="M595" s="29"/>
    </row>
    <row r="596" spans="2:13"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c r="M596" s="29"/>
    </row>
    <row r="597" spans="2:13"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c r="M597" s="29"/>
    </row>
    <row r="598" spans="2:13"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c r="M598" s="29"/>
    </row>
    <row r="599" spans="2:13"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c r="M599" s="29"/>
    </row>
    <row r="600" spans="2:13"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c r="M600" s="29"/>
    </row>
    <row r="601" spans="2:13"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c r="M601" s="29"/>
    </row>
    <row r="602" spans="2:13"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c r="M602" s="29"/>
    </row>
    <row r="603" spans="2:13"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c r="M603" s="29"/>
    </row>
    <row r="604" spans="2:13"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c r="M604" s="29"/>
    </row>
    <row r="605" spans="2:13"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c r="M605" s="29"/>
    </row>
    <row r="606" spans="2:13"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c r="M606" s="29"/>
    </row>
    <row r="607" spans="2:13"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c r="M607" s="29"/>
    </row>
    <row r="608" spans="2:13"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c r="M608" s="29"/>
    </row>
    <row r="609" spans="2:13"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c r="M609" s="29"/>
    </row>
    <row r="610" spans="2:13"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c r="M610" s="29"/>
    </row>
    <row r="611" spans="2:13"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c r="M611" s="29"/>
    </row>
    <row r="612" spans="2:13"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c r="M612" s="29"/>
    </row>
    <row r="613" spans="2:13"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c r="M613" s="29"/>
    </row>
    <row r="614" spans="2:13"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c r="M614" s="29"/>
    </row>
    <row r="615" spans="2:13"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c r="M615" s="29"/>
    </row>
    <row r="616" spans="2:13"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c r="M616" s="29"/>
    </row>
    <row r="617" spans="2:13"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c r="M617" s="29"/>
    </row>
    <row r="618" spans="2:13"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c r="M618" s="29"/>
    </row>
    <row r="619" spans="2:13"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c r="M619" s="29"/>
    </row>
    <row r="620" spans="2:13"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c r="M620" s="29"/>
    </row>
    <row r="621" spans="2:13"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c r="M621" s="29"/>
    </row>
    <row r="622" spans="2:13"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c r="M622" s="29"/>
    </row>
    <row r="623" spans="2:13"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c r="M623" s="29"/>
    </row>
    <row r="624" spans="2:13"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c r="M624" s="29"/>
    </row>
    <row r="625" spans="2:13"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c r="M625" s="29"/>
    </row>
    <row r="626" spans="2:13"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c r="M626" s="29"/>
    </row>
    <row r="627" spans="2:13"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c r="M627" s="29"/>
    </row>
    <row r="628" spans="2:13"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c r="M628" s="29"/>
    </row>
    <row r="629" spans="2:13"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c r="M629" s="29"/>
    </row>
    <row r="630" spans="2:13"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c r="M630" s="29"/>
    </row>
    <row r="631" spans="2:13"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c r="M631" s="29"/>
    </row>
    <row r="632" spans="2:13"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c r="M632" s="29"/>
    </row>
    <row r="633" spans="2:13"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c r="M633" s="29"/>
    </row>
    <row r="634" spans="2:13"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c r="M634" s="29"/>
    </row>
    <row r="635" spans="2:13"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c r="M635" s="29"/>
    </row>
    <row r="636" spans="2:13"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c r="M636" s="29"/>
    </row>
    <row r="637" spans="2:13"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c r="M637" s="29"/>
    </row>
    <row r="638" spans="2:13"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c r="M638" s="29"/>
    </row>
    <row r="639" spans="2:13"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c r="M639" s="29"/>
    </row>
    <row r="640" spans="2:13"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c r="M640" s="29"/>
    </row>
    <row r="641" spans="2:13"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c r="M641" s="29"/>
    </row>
    <row r="642" spans="2:13"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c r="M642" s="29"/>
    </row>
    <row r="643" spans="2:13"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c r="M643" s="29"/>
    </row>
    <row r="644" spans="2:13"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c r="M644" s="29"/>
    </row>
    <row r="645" spans="2:13"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c r="M645" s="29"/>
    </row>
    <row r="646" spans="2:13"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c r="M646" s="29"/>
    </row>
    <row r="647" spans="2:13"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c r="M647" s="29"/>
    </row>
    <row r="648" spans="2:13"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c r="M648" s="29"/>
    </row>
    <row r="649" spans="2:13"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c r="M649" s="29"/>
    </row>
    <row r="650" spans="2:13"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c r="M650" s="29"/>
    </row>
    <row r="651" spans="2:13"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c r="M651" s="29"/>
    </row>
    <row r="652" spans="2:13"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c r="M652" s="29"/>
    </row>
    <row r="653" spans="2:13"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c r="M653" s="29"/>
    </row>
    <row r="654" spans="2:13"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c r="M654" s="29"/>
    </row>
    <row r="655" spans="2:13"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c r="M655" s="29"/>
    </row>
    <row r="656" spans="2:13"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c r="M656" s="29"/>
    </row>
    <row r="657" spans="2:13"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c r="M657" s="29"/>
    </row>
    <row r="658" spans="2:13"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c r="M658" s="29"/>
    </row>
    <row r="659" spans="2:13"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c r="M659" s="29"/>
    </row>
    <row r="660" spans="2:13"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c r="M660" s="29"/>
    </row>
    <row r="661" spans="2:13"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c r="M661" s="29"/>
    </row>
    <row r="662" spans="2:13"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c r="M662" s="29"/>
    </row>
    <row r="663" spans="2:13"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c r="M663" s="29"/>
    </row>
    <row r="664" spans="2:13"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c r="M664" s="29"/>
    </row>
    <row r="665" spans="2:13"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c r="M665" s="29"/>
    </row>
    <row r="666" spans="2:13"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c r="M666" s="29"/>
    </row>
    <row r="667" spans="2:13"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c r="M667" s="29"/>
    </row>
    <row r="668" spans="2:13"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c r="M668" s="29"/>
    </row>
    <row r="669" spans="2:13"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c r="M669" s="29"/>
    </row>
    <row r="670" spans="2:13"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c r="M670" s="29"/>
    </row>
    <row r="671" spans="2:13"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c r="M671" s="29"/>
    </row>
    <row r="672" spans="2:13"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c r="M672" s="29"/>
    </row>
    <row r="673" spans="2:13"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c r="M673" s="29"/>
    </row>
    <row r="674" spans="2:13"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c r="M674" s="29"/>
    </row>
    <row r="675" spans="2:13"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c r="M675" s="29"/>
    </row>
    <row r="676" spans="2:13"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c r="M676" s="29"/>
    </row>
    <row r="677" spans="2:13"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c r="M677" s="29"/>
    </row>
    <row r="678" spans="2:13"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c r="M678" s="29"/>
    </row>
    <row r="679" spans="2:13"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c r="M679" s="29"/>
    </row>
    <row r="680" spans="2:13"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c r="M680" s="29"/>
    </row>
    <row r="681" spans="2:13"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c r="M681" s="29"/>
    </row>
    <row r="682" spans="2:13"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c r="M682" s="29"/>
    </row>
    <row r="683" spans="2:13"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c r="M683" s="29"/>
    </row>
    <row r="684" spans="2:13"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c r="M684" s="29"/>
    </row>
    <row r="685" spans="2:13"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c r="M685" s="29"/>
    </row>
    <row r="686" spans="2:13"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c r="M686" s="29"/>
    </row>
    <row r="687" spans="2:13"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c r="M687" s="29"/>
    </row>
    <row r="688" spans="2:13"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c r="M688" s="29"/>
    </row>
    <row r="689" spans="2:13"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c r="M689" s="29"/>
    </row>
    <row r="690" spans="2:13"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c r="M690" s="29"/>
    </row>
    <row r="691" spans="2:13"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c r="M691" s="29"/>
    </row>
    <row r="692" spans="2:13"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c r="M692" s="29"/>
    </row>
    <row r="693" spans="2:13"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c r="M693" s="29"/>
    </row>
    <row r="694" spans="2:13"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c r="M694" s="29"/>
    </row>
    <row r="695" spans="2:13"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c r="M695" s="29"/>
    </row>
    <row r="696" spans="2:13"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c r="M696" s="29"/>
    </row>
    <row r="697" spans="2:13"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c r="M697" s="29"/>
    </row>
    <row r="698" spans="2:13"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c r="M698" s="29"/>
    </row>
    <row r="699" spans="2:13"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c r="M699" s="29"/>
    </row>
    <row r="700" spans="2:13"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c r="M700" s="29"/>
    </row>
    <row r="701" spans="2:13"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c r="M701" s="29"/>
    </row>
    <row r="702" spans="2:13"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c r="M702" s="29"/>
    </row>
    <row r="703" spans="2:13"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c r="M703" s="29"/>
    </row>
    <row r="704" spans="2:13"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c r="M704" s="29"/>
    </row>
    <row r="705" spans="2:13"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c r="M705" s="29"/>
    </row>
    <row r="706" spans="2:13"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c r="M706" s="29"/>
    </row>
    <row r="707" spans="2:13"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c r="M707" s="29"/>
    </row>
    <row r="708" spans="2:13"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c r="M708" s="29"/>
    </row>
    <row r="709" spans="2:13"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c r="M709" s="29"/>
    </row>
    <row r="710" spans="2:13"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c r="M710" s="29"/>
    </row>
    <row r="711" spans="2:13"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c r="M711" s="29"/>
    </row>
    <row r="712" spans="2:13"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c r="M712" s="29"/>
    </row>
    <row r="713" spans="2:13"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c r="M713" s="29"/>
    </row>
    <row r="714" spans="2:13"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c r="M714" s="29"/>
    </row>
    <row r="715" spans="2:13"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c r="M715" s="29"/>
    </row>
    <row r="716" spans="2:13"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c r="M716" s="29"/>
    </row>
    <row r="717" spans="2:13"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c r="M717" s="29"/>
    </row>
    <row r="718" spans="2:13"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c r="M718" s="29"/>
    </row>
    <row r="719" spans="2:13"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c r="M719" s="29"/>
    </row>
    <row r="720" spans="2:13"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c r="M720" s="29"/>
    </row>
    <row r="721" spans="2:13"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c r="M721" s="29"/>
    </row>
    <row r="722" spans="2:13"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c r="M722" s="29"/>
    </row>
    <row r="723" spans="2:13"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c r="M723" s="29"/>
    </row>
    <row r="724" spans="2:13"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c r="M724" s="29"/>
    </row>
    <row r="725" spans="2:13"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c r="M725" s="29"/>
    </row>
    <row r="726" spans="2:13"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c r="M726" s="29"/>
    </row>
    <row r="727" spans="2:13"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c r="M727" s="29"/>
    </row>
    <row r="728" spans="2:13"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c r="M728" s="29"/>
    </row>
    <row r="729" spans="2:13"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c r="M729" s="29"/>
    </row>
    <row r="730" spans="2:13"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c r="M730" s="29"/>
    </row>
    <row r="731" spans="2:13"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c r="M731" s="29"/>
    </row>
    <row r="732" spans="2:13"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c r="M732" s="29"/>
    </row>
    <row r="733" spans="2:13"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c r="M733" s="29"/>
    </row>
    <row r="734" spans="2:13"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c r="M734" s="29"/>
    </row>
    <row r="735" spans="2:13"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c r="M735" s="29"/>
    </row>
    <row r="736" spans="2:13"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c r="M736" s="29"/>
    </row>
    <row r="737" spans="2:13"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c r="M737" s="29"/>
    </row>
    <row r="738" spans="2:13"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c r="M738" s="29"/>
    </row>
    <row r="739" spans="2:13"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c r="M739" s="29"/>
    </row>
    <row r="740" spans="2:13"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c r="M740" s="29"/>
    </row>
    <row r="741" spans="2:13"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c r="M741" s="29"/>
    </row>
    <row r="742" spans="2:13"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c r="M742" s="29"/>
    </row>
    <row r="743" spans="2:13"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c r="M743" s="29"/>
    </row>
    <row r="744" spans="2:13"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c r="M744" s="29"/>
    </row>
    <row r="745" spans="2:13"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c r="M745" s="29"/>
    </row>
    <row r="746" spans="2:13"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c r="M746" s="29"/>
    </row>
    <row r="747" spans="2:13"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c r="M747" s="29"/>
    </row>
    <row r="748" spans="2:13"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c r="M748" s="29"/>
    </row>
    <row r="749" spans="2:13"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c r="M749" s="29"/>
    </row>
    <row r="750" spans="2:13"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c r="M750" s="29"/>
    </row>
    <row r="751" spans="2:13"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c r="M751" s="29"/>
    </row>
    <row r="752" spans="2:13"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c r="M752" s="29"/>
    </row>
    <row r="753" spans="2:13"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c r="M753" s="29"/>
    </row>
    <row r="754" spans="2:13"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c r="M754" s="29"/>
    </row>
    <row r="755" spans="2:13"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c r="M755" s="29"/>
    </row>
    <row r="756" spans="2:13"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c r="M756" s="29"/>
    </row>
    <row r="757" spans="2:13"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c r="M757" s="29"/>
    </row>
    <row r="758" spans="2:13"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c r="M758" s="29"/>
    </row>
    <row r="759" spans="2:13"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c r="M759" s="29"/>
    </row>
    <row r="760" spans="2:13"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c r="M760" s="29"/>
    </row>
    <row r="761" spans="2:13"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c r="M761" s="29"/>
    </row>
    <row r="762" spans="2:13"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c r="M762" s="29"/>
    </row>
    <row r="763" spans="2:13"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c r="M763" s="29"/>
    </row>
    <row r="764" spans="2:13"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c r="M764" s="29"/>
    </row>
    <row r="765" spans="2:13"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c r="M765" s="29"/>
    </row>
    <row r="766" spans="2:13"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c r="M766" s="29"/>
    </row>
    <row r="767" spans="2:13"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c r="M767" s="29"/>
    </row>
    <row r="768" spans="2:13"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c r="M768" s="29"/>
    </row>
    <row r="769" spans="2:13"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c r="M769" s="29"/>
    </row>
    <row r="770" spans="2:13"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c r="M770" s="29"/>
    </row>
    <row r="771" spans="2:13"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c r="M771" s="29"/>
    </row>
    <row r="772" spans="2:13"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c r="M772" s="29"/>
    </row>
    <row r="773" spans="2:13"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c r="M773" s="29"/>
    </row>
    <row r="774" spans="2:13"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c r="M774" s="29"/>
    </row>
    <row r="775" spans="2:13"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c r="M775" s="29"/>
    </row>
    <row r="776" spans="2:13"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c r="M776" s="29"/>
    </row>
    <row r="777" spans="2:13"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c r="M777" s="29"/>
    </row>
    <row r="778" spans="2:13"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c r="M778" s="29"/>
    </row>
    <row r="779" spans="2:13"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c r="M779" s="29"/>
    </row>
    <row r="780" spans="2:13"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c r="M780" s="29"/>
    </row>
    <row r="781" spans="2:13"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c r="M781" s="29"/>
    </row>
    <row r="782" spans="2:13"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c r="M782" s="29"/>
    </row>
    <row r="783" spans="2:13"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c r="M783" s="29"/>
    </row>
    <row r="784" spans="2:13"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c r="M784" s="29"/>
    </row>
    <row r="785" spans="2:13"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c r="M785" s="29"/>
    </row>
    <row r="786" spans="2:13"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c r="M786" s="29"/>
    </row>
    <row r="787" spans="2:13"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c r="M787" s="29"/>
    </row>
    <row r="788" spans="2:13"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c r="M788" s="29"/>
    </row>
    <row r="789" spans="2:13"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c r="M789" s="29"/>
    </row>
    <row r="790" spans="2:13"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c r="M790" s="29"/>
    </row>
    <row r="791" spans="2:13"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c r="M791" s="29"/>
    </row>
    <row r="792" spans="2:13"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c r="M792" s="29"/>
    </row>
    <row r="793" spans="2:13"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c r="M793" s="29"/>
    </row>
    <row r="794" spans="2:13"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c r="M794" s="29"/>
    </row>
    <row r="795" spans="2:13"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c r="M795" s="29"/>
    </row>
    <row r="796" spans="2:13"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c r="M796" s="29"/>
    </row>
    <row r="797" spans="2:13"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c r="M797" s="29"/>
    </row>
    <row r="798" spans="2:13"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c r="M798" s="29"/>
    </row>
    <row r="799" spans="2:13"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c r="M799" s="29"/>
    </row>
    <row r="800" spans="2:13"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c r="M800" s="29"/>
    </row>
    <row r="801" spans="2:13"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c r="M801" s="29"/>
    </row>
    <row r="802" spans="2:13"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c r="M802" s="29"/>
    </row>
    <row r="803" spans="2:13"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c r="M803" s="29"/>
    </row>
    <row r="804" spans="2:13"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c r="M804" s="29"/>
    </row>
    <row r="805" spans="2:13"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c r="M805" s="29"/>
    </row>
    <row r="806" spans="2:13"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c r="M806" s="29"/>
    </row>
    <row r="807" spans="2:13"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c r="M807" s="29"/>
    </row>
    <row r="808" spans="2:13"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c r="M808" s="29"/>
    </row>
    <row r="809" spans="2:13"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c r="M809" s="29"/>
    </row>
    <row r="810" spans="2:13"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c r="M810" s="29"/>
    </row>
    <row r="811" spans="2:13"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c r="M811" s="29"/>
    </row>
    <row r="812" spans="2:13"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c r="M812" s="29"/>
    </row>
    <row r="813" spans="2:13"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c r="M813" s="29"/>
    </row>
    <row r="814" spans="2:13"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c r="M814" s="29"/>
    </row>
    <row r="815" spans="2:13"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c r="M815" s="29"/>
    </row>
    <row r="816" spans="2:13"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c r="M816" s="29"/>
    </row>
    <row r="817" spans="2:13"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c r="M817" s="29"/>
    </row>
    <row r="818" spans="2:13"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c r="M818" s="29"/>
    </row>
    <row r="819" spans="2:13"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c r="M819" s="29"/>
    </row>
    <row r="820" spans="2:13"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c r="M820" s="29"/>
    </row>
    <row r="821" spans="2:13"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c r="M821" s="29"/>
    </row>
    <row r="822" spans="2:13"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c r="M822" s="29"/>
    </row>
    <row r="823" spans="2:13"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c r="M823" s="29"/>
    </row>
    <row r="824" spans="2:13"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c r="M824" s="29"/>
    </row>
    <row r="825" spans="2:13"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c r="M825" s="29"/>
    </row>
    <row r="826" spans="2:13"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c r="M826" s="29"/>
    </row>
    <row r="827" spans="2:13"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c r="M827" s="29"/>
    </row>
    <row r="828" spans="2:13"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c r="M828" s="29"/>
    </row>
    <row r="829" spans="2:13"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c r="M829" s="29"/>
    </row>
    <row r="830" spans="2:13"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c r="M830" s="29"/>
    </row>
    <row r="831" spans="2:13"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c r="M831" s="29"/>
    </row>
    <row r="832" spans="2:13"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c r="M832" s="29"/>
    </row>
    <row r="833" spans="2:13"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c r="M833" s="29"/>
    </row>
    <row r="834" spans="2:13"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c r="M834" s="29"/>
    </row>
    <row r="835" spans="2:13"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c r="M835" s="29"/>
    </row>
    <row r="836" spans="2:13"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c r="M836" s="29"/>
    </row>
    <row r="837" spans="2:13"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c r="M837" s="29"/>
    </row>
    <row r="838" spans="2:13"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c r="M838" s="29"/>
    </row>
    <row r="839" spans="2:13"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c r="M839" s="29"/>
    </row>
    <row r="840" spans="2:13"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c r="M840" s="29"/>
    </row>
    <row r="841" spans="2:13"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c r="M841" s="29"/>
    </row>
    <row r="842" spans="2:13"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c r="M842" s="29"/>
    </row>
    <row r="843" spans="2:13"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c r="M843" s="29"/>
    </row>
    <row r="844" spans="2:13"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c r="M844" s="29"/>
    </row>
    <row r="845" spans="2:13"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c r="M845" s="29"/>
    </row>
    <row r="846" spans="2:13"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c r="M846" s="29"/>
    </row>
    <row r="847" spans="2:13"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c r="M847" s="29"/>
    </row>
    <row r="848" spans="2:13"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c r="M848" s="29"/>
    </row>
    <row r="849" spans="2:13"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c r="M849" s="29"/>
    </row>
    <row r="850" spans="2:13"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c r="M850" s="29"/>
    </row>
    <row r="851" spans="2:13"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c r="M851" s="29"/>
    </row>
    <row r="852" spans="2:13"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c r="M852" s="29"/>
    </row>
    <row r="853" spans="2:13"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c r="M853" s="29"/>
    </row>
    <row r="854" spans="2:13"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c r="M854" s="29"/>
    </row>
    <row r="855" spans="2:13"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c r="M855" s="29"/>
    </row>
    <row r="856" spans="2:13"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c r="M856" s="29"/>
    </row>
    <row r="857" spans="2:13"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c r="M857" s="29"/>
    </row>
    <row r="858" spans="2:13"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c r="M858" s="29"/>
    </row>
    <row r="859" spans="2:13"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c r="M859" s="29"/>
    </row>
    <row r="860" spans="2:13"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c r="M860" s="29"/>
    </row>
    <row r="861" spans="2:13"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c r="M861" s="29"/>
    </row>
    <row r="862" spans="2:13"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c r="M862" s="29"/>
    </row>
    <row r="863" spans="2:13"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c r="M863" s="29"/>
    </row>
    <row r="864" spans="2:13"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c r="M864" s="29"/>
    </row>
    <row r="865" spans="2:13"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c r="M865" s="29"/>
    </row>
    <row r="866" spans="2:13"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c r="M866" s="29"/>
    </row>
    <row r="867" spans="2:13"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c r="M867" s="29"/>
    </row>
    <row r="868" spans="2:13"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c r="M868" s="29"/>
    </row>
    <row r="869" spans="2:13"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c r="M869" s="29"/>
    </row>
    <row r="870" spans="2:13"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c r="M870" s="29"/>
    </row>
    <row r="871" spans="2:13"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c r="M871" s="29"/>
    </row>
    <row r="872" spans="2:13"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c r="M872" s="29"/>
    </row>
    <row r="873" spans="2:13"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c r="M873" s="29"/>
    </row>
    <row r="874" spans="2:13"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c r="M874" s="29"/>
    </row>
    <row r="875" spans="2:13"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c r="M875" s="29"/>
    </row>
    <row r="876" spans="2:13"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c r="M876" s="29"/>
    </row>
    <row r="877" spans="2:13"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c r="M877" s="29"/>
    </row>
    <row r="878" spans="2:13"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c r="M878" s="29"/>
    </row>
    <row r="879" spans="2:13"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c r="M879" s="29"/>
    </row>
    <row r="880" spans="2:13"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c r="M880" s="29"/>
    </row>
    <row r="881" spans="2:13"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c r="M881" s="29"/>
    </row>
    <row r="882" spans="2:13"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c r="M882" s="29"/>
    </row>
    <row r="883" spans="2:13"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c r="M883" s="29"/>
    </row>
    <row r="884" spans="2:13"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c r="M884" s="29"/>
    </row>
    <row r="885" spans="2:13"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c r="M885" s="29"/>
    </row>
    <row r="886" spans="2:13"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c r="M886" s="29"/>
    </row>
    <row r="887" spans="2:13"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c r="M887" s="29"/>
    </row>
    <row r="888" spans="2:13"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c r="M888" s="29"/>
    </row>
    <row r="889" spans="2:13"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c r="M889" s="29"/>
    </row>
    <row r="890" spans="2:13"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c r="M890" s="29"/>
    </row>
    <row r="891" spans="2:13"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c r="M891" s="29"/>
    </row>
    <row r="892" spans="2:13"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c r="M892" s="29"/>
    </row>
    <row r="893" spans="2:13"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c r="M893" s="29"/>
    </row>
    <row r="894" spans="2:13"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c r="M894" s="29"/>
    </row>
    <row r="895" spans="2:13"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c r="M895" s="29"/>
    </row>
    <row r="896" spans="2:13"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c r="M896" s="29"/>
    </row>
    <row r="897" spans="2:13"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c r="M897" s="29"/>
    </row>
    <row r="898" spans="2:13"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c r="M898" s="29"/>
    </row>
    <row r="899" spans="2:13"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c r="M899" s="29"/>
    </row>
    <row r="900" spans="2:13"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c r="M900" s="29"/>
    </row>
    <row r="901" spans="2:13"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c r="M901" s="29"/>
    </row>
    <row r="902" spans="2:13"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c r="M902" s="29"/>
    </row>
    <row r="903" spans="2:13"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c r="M903" s="29"/>
    </row>
    <row r="904" spans="2:13"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c r="M904" s="29"/>
    </row>
    <row r="905" spans="2:13"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c r="M905" s="29"/>
    </row>
    <row r="906" spans="2:13"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c r="M906" s="29"/>
    </row>
    <row r="907" spans="2:13"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c r="M907" s="29"/>
    </row>
    <row r="908" spans="2:13"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c r="M908" s="29"/>
    </row>
    <row r="909" spans="2:13"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c r="M909" s="29"/>
    </row>
    <row r="910" spans="2:13"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c r="M910" s="29"/>
    </row>
    <row r="911" spans="2:13"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c r="M911" s="29"/>
    </row>
    <row r="912" spans="2:13"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c r="M912" s="29"/>
    </row>
    <row r="913" spans="2:13"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c r="M913" s="29"/>
    </row>
    <row r="914" spans="2:13"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c r="M914" s="29"/>
    </row>
    <row r="915" spans="2:13"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c r="M915" s="29"/>
    </row>
    <row r="916" spans="2:13"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c r="M916" s="29"/>
    </row>
    <row r="917" spans="2:13"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c r="M917" s="29"/>
    </row>
    <row r="918" spans="2:13"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c r="M918" s="29"/>
    </row>
    <row r="919" spans="2:13"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c r="M919" s="29"/>
    </row>
    <row r="920" spans="2:13"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c r="M920" s="29"/>
    </row>
    <row r="921" spans="2:13"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c r="M921" s="29"/>
    </row>
    <row r="922" spans="2:13"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c r="M922" s="29"/>
    </row>
    <row r="923" spans="2:13"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c r="M923" s="29"/>
    </row>
    <row r="924" spans="2:13"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c r="M924" s="29"/>
    </row>
    <row r="925" spans="2:13"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c r="M925" s="29"/>
    </row>
    <row r="926" spans="2:13"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c r="M926" s="29"/>
    </row>
    <row r="927" spans="2:13"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c r="M927" s="29"/>
    </row>
    <row r="928" spans="2:13"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c r="M928" s="29"/>
    </row>
    <row r="929" spans="2:13"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c r="M929" s="29"/>
    </row>
    <row r="930" spans="2:13"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c r="M930" s="29"/>
    </row>
    <row r="931" spans="2:13"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c r="M931" s="29"/>
    </row>
    <row r="932" spans="2:13"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c r="M932" s="29"/>
    </row>
    <row r="933" spans="2:13"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c r="M933" s="29"/>
    </row>
    <row r="934" spans="2:13"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c r="M934" s="29"/>
    </row>
    <row r="935" spans="2:13"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c r="M935" s="29"/>
    </row>
    <row r="936" spans="2:13"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c r="M936" s="29"/>
    </row>
    <row r="937" spans="2:13"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c r="M937" s="29"/>
    </row>
    <row r="938" spans="2:13"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c r="M938" s="29"/>
    </row>
    <row r="939" spans="2:13"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c r="M939" s="29"/>
    </row>
    <row r="940" spans="2:13"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c r="M940" s="29"/>
    </row>
    <row r="941" spans="2:13"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c r="M941" s="29"/>
    </row>
    <row r="942" spans="2:13"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c r="M942" s="29"/>
    </row>
    <row r="943" spans="2:13"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c r="M943" s="29"/>
    </row>
    <row r="944" spans="2:13"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c r="M944" s="29"/>
    </row>
    <row r="945" spans="2:13"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c r="M945" s="29"/>
    </row>
    <row r="946" spans="2:13"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c r="M946" s="29"/>
    </row>
    <row r="947" spans="2:13"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c r="M947" s="29"/>
    </row>
    <row r="948" spans="2:13"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c r="M948" s="29"/>
    </row>
    <row r="949" spans="2:13"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c r="M949" s="29"/>
    </row>
    <row r="950" spans="2:13"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c r="M950" s="29"/>
    </row>
    <row r="951" spans="2:13"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c r="M951" s="29"/>
    </row>
    <row r="952" spans="2:13"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c r="M952" s="29"/>
    </row>
    <row r="953" spans="2:13"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c r="M953" s="29"/>
    </row>
    <row r="954" spans="2:13"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c r="M954" s="29"/>
    </row>
    <row r="955" spans="2:13"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c r="M955" s="29"/>
    </row>
    <row r="956" spans="2:13"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c r="M956" s="29"/>
    </row>
    <row r="957" spans="2:13"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c r="M957" s="29"/>
    </row>
    <row r="958" spans="2:13"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c r="M958" s="29"/>
    </row>
    <row r="959" spans="2:13"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c r="M959" s="29"/>
    </row>
    <row r="960" spans="2:13"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c r="M960" s="29"/>
    </row>
    <row r="961" spans="2:13"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c r="M961" s="29"/>
    </row>
    <row r="962" spans="2:13"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c r="M962" s="29"/>
    </row>
    <row r="963" spans="2:13"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c r="M963" s="29"/>
    </row>
    <row r="964" spans="2:13"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c r="M964" s="29"/>
    </row>
    <row r="965" spans="2:13"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c r="M965" s="29"/>
    </row>
    <row r="966" spans="2:13"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c r="M966" s="29"/>
    </row>
    <row r="967" spans="2:13"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c r="M967" s="29"/>
    </row>
    <row r="968" spans="2:13"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c r="M968" s="29"/>
    </row>
    <row r="969" spans="2:13"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c r="M969" s="29"/>
    </row>
    <row r="970" spans="2:13"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c r="M970" s="29"/>
    </row>
    <row r="971" spans="2:13"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c r="M971" s="29"/>
    </row>
    <row r="972" spans="2:13" x14ac:dyDescent="0.25">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c r="M972" s="29"/>
    </row>
    <row r="973" spans="2:13" x14ac:dyDescent="0.25">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c r="M973" s="29"/>
    </row>
    <row r="974" spans="2:13" x14ac:dyDescent="0.25">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c r="M974" s="29"/>
    </row>
    <row r="975" spans="2:13" x14ac:dyDescent="0.25">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c r="M975" s="29"/>
    </row>
    <row r="976" spans="2:13" x14ac:dyDescent="0.25">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c r="M976" s="29"/>
    </row>
    <row r="977" spans="2:13" x14ac:dyDescent="0.25">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c r="M977" s="29"/>
    </row>
    <row r="978" spans="2:13" x14ac:dyDescent="0.25">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c r="M978" s="29"/>
    </row>
    <row r="979" spans="2:13" x14ac:dyDescent="0.25">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c r="M979" s="29"/>
    </row>
    <row r="980" spans="2:13" x14ac:dyDescent="0.25">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c r="M980" s="29"/>
    </row>
    <row r="981" spans="2:13" x14ac:dyDescent="0.25">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c r="M981" s="29"/>
    </row>
    <row r="982" spans="2:13" x14ac:dyDescent="0.25">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c r="M982" s="29"/>
    </row>
    <row r="983" spans="2:13" x14ac:dyDescent="0.25">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c r="M983" s="29"/>
    </row>
    <row r="984" spans="2:13" x14ac:dyDescent="0.25">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c r="M984" s="29"/>
    </row>
    <row r="985" spans="2:13" x14ac:dyDescent="0.25">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c r="M985" s="29"/>
    </row>
    <row r="986" spans="2:13" x14ac:dyDescent="0.25">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c r="M986" s="29"/>
    </row>
    <row r="987" spans="2:13" x14ac:dyDescent="0.25">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c r="M987" s="29"/>
    </row>
    <row r="988" spans="2:13" x14ac:dyDescent="0.25">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c r="M988" s="29"/>
    </row>
    <row r="989" spans="2:13" x14ac:dyDescent="0.25">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c r="M989" s="29"/>
    </row>
    <row r="990" spans="2:13" x14ac:dyDescent="0.25">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c r="M990" s="29"/>
    </row>
    <row r="991" spans="2:13" x14ac:dyDescent="0.25">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c r="M991" s="29"/>
    </row>
    <row r="992" spans="2:13" x14ac:dyDescent="0.25">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c r="M992" s="29"/>
    </row>
    <row r="993" spans="2:13" x14ac:dyDescent="0.25">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c r="M993" s="29"/>
    </row>
    <row r="994" spans="2:13" x14ac:dyDescent="0.25">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c r="M994" s="29"/>
    </row>
    <row r="995" spans="2:13" x14ac:dyDescent="0.25">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c r="M995" s="29"/>
    </row>
    <row r="996" spans="2:13" x14ac:dyDescent="0.25">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c r="M996" s="29"/>
    </row>
    <row r="997" spans="2:13" x14ac:dyDescent="0.25">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c r="M997" s="29"/>
    </row>
    <row r="998" spans="2:13" x14ac:dyDescent="0.25">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c r="M998" s="29"/>
    </row>
    <row r="999" spans="2:13" x14ac:dyDescent="0.25">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c r="M999" s="29"/>
    </row>
    <row r="1000" spans="2:13" x14ac:dyDescent="0.25">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c r="M1000" s="29"/>
    </row>
    <row r="1001" spans="2:13" x14ac:dyDescent="0.25">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c r="M1001" s="29"/>
    </row>
    <row r="1002" spans="2:13" x14ac:dyDescent="0.25">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c r="M1002" s="29"/>
    </row>
    <row r="1003" spans="2:13" x14ac:dyDescent="0.25">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c r="M1003" s="29"/>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7790-E7AE-4AB1-B79A-F0ACBA051162}">
  <dimension ref="A3:M100"/>
  <sheetViews>
    <sheetView topLeftCell="A81" workbookViewId="0">
      <selection activeCell="A81" sqref="A81:G100"/>
    </sheetView>
  </sheetViews>
  <sheetFormatPr defaultRowHeight="15" x14ac:dyDescent="0.25"/>
  <cols>
    <col min="1" max="1" width="12.625" bestFit="1" customWidth="1"/>
    <col min="2" max="2" width="10" bestFit="1" customWidth="1"/>
    <col min="3" max="3" width="12.25" bestFit="1" customWidth="1"/>
    <col min="4" max="4" width="10.25" bestFit="1" customWidth="1"/>
    <col min="5" max="5" width="7.5" bestFit="1" customWidth="1"/>
    <col min="6" max="6" width="6.375" bestFit="1" customWidth="1"/>
    <col min="7" max="7" width="12.625" bestFit="1" customWidth="1"/>
    <col min="8" max="8" width="10" bestFit="1" customWidth="1"/>
    <col min="9" max="9" width="11" bestFit="1" customWidth="1"/>
  </cols>
  <sheetData>
    <row r="3" spans="1:5" x14ac:dyDescent="0.25">
      <c r="A3" t="s">
        <v>1042</v>
      </c>
      <c r="B3" t="s">
        <v>1041</v>
      </c>
      <c r="C3" t="s">
        <v>1043</v>
      </c>
      <c r="D3" t="s">
        <v>1044</v>
      </c>
      <c r="E3" t="s">
        <v>1045</v>
      </c>
    </row>
    <row r="4" spans="1:5" x14ac:dyDescent="0.25">
      <c r="A4" s="22">
        <v>1000</v>
      </c>
      <c r="B4" s="21">
        <v>96623</v>
      </c>
      <c r="C4" s="22">
        <v>89850</v>
      </c>
      <c r="D4" s="23">
        <v>3.8854000000000033</v>
      </c>
      <c r="E4" s="22">
        <v>307</v>
      </c>
    </row>
    <row r="11" spans="1:5" x14ac:dyDescent="0.25">
      <c r="A11" t="s">
        <v>1042</v>
      </c>
      <c r="B11" t="s">
        <v>1041</v>
      </c>
      <c r="C11" t="s">
        <v>1043</v>
      </c>
      <c r="D11" t="s">
        <v>1044</v>
      </c>
      <c r="E11" t="s">
        <v>1045</v>
      </c>
    </row>
    <row r="12" spans="1:5" x14ac:dyDescent="0.25">
      <c r="A12" s="22">
        <v>207</v>
      </c>
      <c r="B12" s="21">
        <v>20872</v>
      </c>
      <c r="C12" s="22">
        <v>17700</v>
      </c>
      <c r="D12" s="23">
        <v>3.8589371980676304</v>
      </c>
      <c r="E12" s="22">
        <v>60</v>
      </c>
    </row>
    <row r="22" spans="1:8" x14ac:dyDescent="0.25">
      <c r="A22" s="24" t="s">
        <v>1046</v>
      </c>
      <c r="B22" t="s">
        <v>1042</v>
      </c>
      <c r="C22" t="s">
        <v>1060</v>
      </c>
      <c r="G22" s="24" t="s">
        <v>1046</v>
      </c>
      <c r="H22" t="s">
        <v>1042</v>
      </c>
    </row>
    <row r="23" spans="1:8" x14ac:dyDescent="0.25">
      <c r="A23" s="25" t="s">
        <v>1048</v>
      </c>
      <c r="B23" s="22">
        <v>13</v>
      </c>
      <c r="C23" s="22">
        <v>13</v>
      </c>
      <c r="G23" s="25" t="s">
        <v>1064</v>
      </c>
      <c r="H23" s="22">
        <v>30</v>
      </c>
    </row>
    <row r="24" spans="1:8" x14ac:dyDescent="0.25">
      <c r="A24" s="25" t="s">
        <v>1049</v>
      </c>
      <c r="B24" s="22">
        <v>13</v>
      </c>
      <c r="C24" s="22">
        <v>13</v>
      </c>
      <c r="G24" s="25" t="s">
        <v>1062</v>
      </c>
      <c r="H24" s="22">
        <v>34</v>
      </c>
    </row>
    <row r="25" spans="1:8" x14ac:dyDescent="0.25">
      <c r="A25" s="25" t="s">
        <v>1050</v>
      </c>
      <c r="B25" s="22">
        <v>28</v>
      </c>
      <c r="C25" s="22">
        <v>28</v>
      </c>
      <c r="G25" s="25" t="s">
        <v>1066</v>
      </c>
      <c r="H25" s="22">
        <v>26</v>
      </c>
    </row>
    <row r="26" spans="1:8" x14ac:dyDescent="0.25">
      <c r="A26" s="25" t="s">
        <v>1051</v>
      </c>
      <c r="B26" s="22">
        <v>24</v>
      </c>
      <c r="C26" s="22">
        <v>24</v>
      </c>
      <c r="G26" s="25" t="s">
        <v>1067</v>
      </c>
      <c r="H26" s="22">
        <v>38</v>
      </c>
    </row>
    <row r="27" spans="1:8" x14ac:dyDescent="0.25">
      <c r="A27" s="25" t="s">
        <v>1052</v>
      </c>
      <c r="B27" s="22">
        <v>23</v>
      </c>
      <c r="C27" s="22">
        <v>23</v>
      </c>
      <c r="G27" s="25" t="s">
        <v>1065</v>
      </c>
      <c r="H27" s="22">
        <v>27</v>
      </c>
    </row>
    <row r="28" spans="1:8" x14ac:dyDescent="0.25">
      <c r="A28" s="25" t="s">
        <v>1053</v>
      </c>
      <c r="B28" s="22">
        <v>17</v>
      </c>
      <c r="C28" s="22">
        <v>17</v>
      </c>
      <c r="G28" s="25" t="s">
        <v>1061</v>
      </c>
      <c r="H28" s="22">
        <v>27</v>
      </c>
    </row>
    <row r="29" spans="1:8" x14ac:dyDescent="0.25">
      <c r="A29" s="25" t="s">
        <v>1054</v>
      </c>
      <c r="B29" s="22">
        <v>11</v>
      </c>
      <c r="C29" s="22">
        <v>11</v>
      </c>
      <c r="G29" s="25" t="s">
        <v>1063</v>
      </c>
      <c r="H29" s="22">
        <v>25</v>
      </c>
    </row>
    <row r="30" spans="1:8" x14ac:dyDescent="0.25">
      <c r="A30" s="25" t="s">
        <v>1055</v>
      </c>
      <c r="B30" s="22">
        <v>11</v>
      </c>
      <c r="C30" s="22">
        <v>11</v>
      </c>
      <c r="G30" s="25" t="s">
        <v>1047</v>
      </c>
      <c r="H30" s="22">
        <v>207</v>
      </c>
    </row>
    <row r="31" spans="1:8" x14ac:dyDescent="0.25">
      <c r="A31" s="25" t="s">
        <v>1056</v>
      </c>
      <c r="B31" s="22">
        <v>14</v>
      </c>
      <c r="C31" s="22">
        <v>14</v>
      </c>
    </row>
    <row r="32" spans="1:8" x14ac:dyDescent="0.25">
      <c r="A32" s="25" t="s">
        <v>1057</v>
      </c>
      <c r="B32" s="22">
        <v>30</v>
      </c>
      <c r="C32" s="22">
        <v>30</v>
      </c>
    </row>
    <row r="33" spans="1:13" x14ac:dyDescent="0.25">
      <c r="A33" s="25" t="s">
        <v>1058</v>
      </c>
      <c r="B33" s="22">
        <v>14</v>
      </c>
      <c r="C33" s="22">
        <v>14</v>
      </c>
    </row>
    <row r="34" spans="1:13" x14ac:dyDescent="0.25">
      <c r="A34" s="25" t="s">
        <v>1059</v>
      </c>
      <c r="B34" s="22">
        <v>9</v>
      </c>
      <c r="C34" s="22">
        <v>9</v>
      </c>
    </row>
    <row r="35" spans="1:13" x14ac:dyDescent="0.25">
      <c r="A35" s="25" t="s">
        <v>1047</v>
      </c>
      <c r="B35" s="22">
        <v>207</v>
      </c>
      <c r="C35" s="22">
        <v>207</v>
      </c>
    </row>
    <row r="40" spans="1:13" x14ac:dyDescent="0.25">
      <c r="H40" s="28" t="s">
        <v>1074</v>
      </c>
      <c r="I40" s="28"/>
      <c r="J40" s="28"/>
      <c r="K40" s="28"/>
      <c r="L40" s="28"/>
      <c r="M40" s="28"/>
    </row>
    <row r="41" spans="1:13" x14ac:dyDescent="0.25">
      <c r="E41" t="s">
        <v>1068</v>
      </c>
    </row>
    <row r="42" spans="1:13" x14ac:dyDescent="0.25">
      <c r="G42" t="s">
        <v>1075</v>
      </c>
      <c r="H42" t="str">
        <f>A56</f>
        <v>R03</v>
      </c>
    </row>
    <row r="43" spans="1:13" x14ac:dyDescent="0.25">
      <c r="A43" s="24" t="s">
        <v>1046</v>
      </c>
      <c r="B43" t="s">
        <v>1042</v>
      </c>
      <c r="C43" t="s">
        <v>1041</v>
      </c>
      <c r="E43" t="s">
        <v>1069</v>
      </c>
      <c r="F43" t="s">
        <v>1070</v>
      </c>
      <c r="G43" t="s">
        <v>1071</v>
      </c>
      <c r="H43" t="s">
        <v>1072</v>
      </c>
      <c r="I43" t="s">
        <v>1073</v>
      </c>
    </row>
    <row r="44" spans="1:13" x14ac:dyDescent="0.25">
      <c r="A44" s="25" t="s">
        <v>11</v>
      </c>
      <c r="B44" s="22">
        <v>189</v>
      </c>
      <c r="C44" s="21">
        <v>18415</v>
      </c>
      <c r="E44" t="str" cm="1">
        <f t="array" ref="E44:G48">A44:C48</f>
        <v>R01</v>
      </c>
      <c r="F44">
        <v>189</v>
      </c>
      <c r="G44" s="26">
        <v>18415</v>
      </c>
      <c r="H44" t="e">
        <f>IF(E44=$H$42,F44,NA())</f>
        <v>#N/A</v>
      </c>
      <c r="I44" s="26" t="e">
        <f>IF(E44=$H$42,G44,NA())</f>
        <v>#N/A</v>
      </c>
    </row>
    <row r="45" spans="1:13" x14ac:dyDescent="0.25">
      <c r="A45" s="25" t="s">
        <v>9</v>
      </c>
      <c r="B45" s="22">
        <v>218</v>
      </c>
      <c r="C45" s="21">
        <v>20581</v>
      </c>
      <c r="E45" t="str">
        <v>R02</v>
      </c>
      <c r="F45">
        <v>218</v>
      </c>
      <c r="G45" s="26">
        <v>20581</v>
      </c>
      <c r="H45" t="e">
        <f t="shared" ref="H45:H48" si="0">IF(E45=$H$42,F45,NA())</f>
        <v>#N/A</v>
      </c>
      <c r="I45" s="26" t="e">
        <f t="shared" ref="I45:I48" si="1">IF(E45=$H$42,G45,NA())</f>
        <v>#N/A</v>
      </c>
    </row>
    <row r="46" spans="1:13" x14ac:dyDescent="0.25">
      <c r="A46" s="25" t="s">
        <v>6</v>
      </c>
      <c r="B46" s="22">
        <v>207</v>
      </c>
      <c r="C46" s="21">
        <v>20872</v>
      </c>
      <c r="E46" t="str">
        <v>R03</v>
      </c>
      <c r="F46">
        <v>207</v>
      </c>
      <c r="G46" s="26">
        <v>20872</v>
      </c>
      <c r="H46">
        <f t="shared" si="0"/>
        <v>207</v>
      </c>
      <c r="I46" s="26">
        <f t="shared" si="1"/>
        <v>20872</v>
      </c>
    </row>
    <row r="47" spans="1:13" x14ac:dyDescent="0.25">
      <c r="A47" s="25" t="s">
        <v>13</v>
      </c>
      <c r="B47" s="22">
        <v>186</v>
      </c>
      <c r="C47" s="21">
        <v>16651</v>
      </c>
      <c r="E47" t="str">
        <v>R04</v>
      </c>
      <c r="F47">
        <v>186</v>
      </c>
      <c r="G47" s="26">
        <v>16651</v>
      </c>
      <c r="H47" t="e">
        <f t="shared" si="0"/>
        <v>#N/A</v>
      </c>
      <c r="I47" s="26" t="e">
        <f t="shared" si="1"/>
        <v>#N/A</v>
      </c>
    </row>
    <row r="48" spans="1:13" x14ac:dyDescent="0.25">
      <c r="A48" s="25" t="s">
        <v>10</v>
      </c>
      <c r="B48" s="22">
        <v>200</v>
      </c>
      <c r="C48" s="21">
        <v>20104</v>
      </c>
      <c r="E48" t="str">
        <v>R05</v>
      </c>
      <c r="F48">
        <v>200</v>
      </c>
      <c r="G48" s="26">
        <v>20104</v>
      </c>
      <c r="H48" t="e">
        <f t="shared" si="0"/>
        <v>#N/A</v>
      </c>
      <c r="I48" s="26" t="e">
        <f t="shared" si="1"/>
        <v>#N/A</v>
      </c>
    </row>
    <row r="49" spans="1:4" x14ac:dyDescent="0.25">
      <c r="A49" s="25" t="s">
        <v>1047</v>
      </c>
      <c r="B49" s="22">
        <v>1000</v>
      </c>
      <c r="C49" s="21">
        <v>96623</v>
      </c>
    </row>
    <row r="55" spans="1:4" x14ac:dyDescent="0.25">
      <c r="A55" s="24" t="s">
        <v>1046</v>
      </c>
      <c r="B55" t="s">
        <v>1042</v>
      </c>
      <c r="C55" t="s">
        <v>1041</v>
      </c>
    </row>
    <row r="56" spans="1:4" x14ac:dyDescent="0.25">
      <c r="A56" s="27" t="s">
        <v>6</v>
      </c>
      <c r="B56" s="22">
        <v>207</v>
      </c>
      <c r="C56" s="21">
        <v>20872</v>
      </c>
    </row>
    <row r="62" spans="1:4" x14ac:dyDescent="0.25">
      <c r="A62" s="24" t="s">
        <v>1042</v>
      </c>
      <c r="B62" s="24" t="s">
        <v>1077</v>
      </c>
    </row>
    <row r="63" spans="1:4" x14ac:dyDescent="0.25">
      <c r="A63" s="24" t="s">
        <v>1046</v>
      </c>
      <c r="B63" t="s">
        <v>998</v>
      </c>
      <c r="C63" t="s">
        <v>997</v>
      </c>
      <c r="D63" t="s">
        <v>1047</v>
      </c>
    </row>
    <row r="64" spans="1:4" x14ac:dyDescent="0.25">
      <c r="A64" s="25" t="s">
        <v>1001</v>
      </c>
      <c r="B64" s="22">
        <v>144</v>
      </c>
      <c r="C64" s="22">
        <v>132</v>
      </c>
      <c r="D64" s="22">
        <v>276</v>
      </c>
    </row>
    <row r="65" spans="1:4" x14ac:dyDescent="0.25">
      <c r="A65" s="25" t="s">
        <v>1000</v>
      </c>
      <c r="B65" s="22">
        <v>326</v>
      </c>
      <c r="C65" s="22">
        <v>63</v>
      </c>
      <c r="D65" s="22">
        <v>389</v>
      </c>
    </row>
    <row r="66" spans="1:4" x14ac:dyDescent="0.25">
      <c r="A66" s="25" t="s">
        <v>999</v>
      </c>
      <c r="B66" s="22">
        <v>129</v>
      </c>
      <c r="C66" s="22">
        <v>206</v>
      </c>
      <c r="D66" s="22">
        <v>335</v>
      </c>
    </row>
    <row r="67" spans="1:4" x14ac:dyDescent="0.25">
      <c r="A67" s="25" t="s">
        <v>1047</v>
      </c>
      <c r="B67" s="22">
        <v>599</v>
      </c>
      <c r="C67" s="22">
        <v>401</v>
      </c>
      <c r="D67" s="22">
        <v>1000</v>
      </c>
    </row>
    <row r="72" spans="1:4" x14ac:dyDescent="0.25">
      <c r="A72" s="24" t="s">
        <v>1046</v>
      </c>
      <c r="B72" t="s">
        <v>1042</v>
      </c>
    </row>
    <row r="73" spans="1:4" x14ac:dyDescent="0.25">
      <c r="A73" s="25">
        <v>0</v>
      </c>
      <c r="B73" s="22">
        <v>1</v>
      </c>
    </row>
    <row r="74" spans="1:4" x14ac:dyDescent="0.25">
      <c r="A74" s="25">
        <v>1</v>
      </c>
      <c r="B74" s="22">
        <v>1</v>
      </c>
    </row>
    <row r="75" spans="1:4" x14ac:dyDescent="0.25">
      <c r="A75" s="25">
        <v>2</v>
      </c>
      <c r="B75" s="22">
        <v>11</v>
      </c>
    </row>
    <row r="76" spans="1:4" x14ac:dyDescent="0.25">
      <c r="A76" s="25">
        <v>3</v>
      </c>
      <c r="B76" s="22">
        <v>46</v>
      </c>
    </row>
    <row r="77" spans="1:4" x14ac:dyDescent="0.25">
      <c r="A77" s="25">
        <v>4</v>
      </c>
      <c r="B77" s="22">
        <v>88</v>
      </c>
    </row>
    <row r="78" spans="1:4" x14ac:dyDescent="0.25">
      <c r="A78" s="25">
        <v>5</v>
      </c>
      <c r="B78" s="22">
        <v>60</v>
      </c>
    </row>
    <row r="79" spans="1:4" x14ac:dyDescent="0.25">
      <c r="A79" s="25" t="s">
        <v>1047</v>
      </c>
      <c r="B79" s="22">
        <v>207</v>
      </c>
    </row>
    <row r="81" spans="1:7" x14ac:dyDescent="0.25">
      <c r="A81" s="24" t="s">
        <v>1041</v>
      </c>
      <c r="B81" s="24" t="s">
        <v>1077</v>
      </c>
    </row>
    <row r="82" spans="1:7" x14ac:dyDescent="0.25">
      <c r="A82" s="24" t="s">
        <v>1046</v>
      </c>
      <c r="B82" t="s">
        <v>11</v>
      </c>
      <c r="C82" t="s">
        <v>9</v>
      </c>
      <c r="D82" t="s">
        <v>6</v>
      </c>
      <c r="E82" t="s">
        <v>13</v>
      </c>
      <c r="F82" t="s">
        <v>10</v>
      </c>
      <c r="G82" t="s">
        <v>1047</v>
      </c>
    </row>
    <row r="83" spans="1:7" x14ac:dyDescent="0.25">
      <c r="A83" s="25" t="s">
        <v>1001</v>
      </c>
      <c r="B83" s="29"/>
      <c r="C83" s="29"/>
      <c r="D83" s="29"/>
      <c r="E83" s="29"/>
      <c r="F83" s="29"/>
      <c r="G83" s="29"/>
    </row>
    <row r="84" spans="1:7" x14ac:dyDescent="0.25">
      <c r="A84" s="30" t="s">
        <v>20</v>
      </c>
      <c r="B84" s="21">
        <v>891</v>
      </c>
      <c r="C84" s="21">
        <v>1332</v>
      </c>
      <c r="D84" s="21">
        <v>1282</v>
      </c>
      <c r="E84" s="21">
        <v>739</v>
      </c>
      <c r="F84" s="21">
        <v>560</v>
      </c>
      <c r="G84" s="21">
        <v>4804</v>
      </c>
    </row>
    <row r="85" spans="1:7" x14ac:dyDescent="0.25">
      <c r="A85" s="30" t="s">
        <v>12</v>
      </c>
      <c r="B85" s="21">
        <v>1991</v>
      </c>
      <c r="C85" s="21">
        <v>1886</v>
      </c>
      <c r="D85" s="21">
        <v>1206</v>
      </c>
      <c r="E85" s="21">
        <v>884</v>
      </c>
      <c r="F85" s="21">
        <v>1722</v>
      </c>
      <c r="G85" s="21">
        <v>7689</v>
      </c>
    </row>
    <row r="86" spans="1:7" x14ac:dyDescent="0.25">
      <c r="A86" s="30" t="s">
        <v>8</v>
      </c>
      <c r="B86" s="21">
        <v>1163</v>
      </c>
      <c r="C86" s="21">
        <v>1180</v>
      </c>
      <c r="D86" s="21">
        <v>1616</v>
      </c>
      <c r="E86" s="21">
        <v>1043</v>
      </c>
      <c r="F86" s="21">
        <v>1747</v>
      </c>
      <c r="G86" s="21">
        <v>6749</v>
      </c>
    </row>
    <row r="87" spans="1:7" x14ac:dyDescent="0.25">
      <c r="A87" s="30" t="s">
        <v>16</v>
      </c>
      <c r="B87" s="21">
        <v>1438</v>
      </c>
      <c r="C87" s="21">
        <v>1616</v>
      </c>
      <c r="D87" s="21">
        <v>866</v>
      </c>
      <c r="E87" s="21">
        <v>829</v>
      </c>
      <c r="F87" s="21">
        <v>2070</v>
      </c>
      <c r="G87" s="21">
        <v>6819</v>
      </c>
    </row>
    <row r="88" spans="1:7" x14ac:dyDescent="0.25">
      <c r="A88" s="25" t="s">
        <v>1000</v>
      </c>
      <c r="B88" s="29"/>
      <c r="C88" s="29"/>
      <c r="D88" s="29"/>
      <c r="E88" s="29"/>
      <c r="F88" s="29"/>
      <c r="G88" s="29"/>
    </row>
    <row r="89" spans="1:7" x14ac:dyDescent="0.25">
      <c r="A89" s="30" t="s">
        <v>24</v>
      </c>
      <c r="B89" s="21">
        <v>1233</v>
      </c>
      <c r="C89" s="21">
        <v>223</v>
      </c>
      <c r="D89" s="21">
        <v>1680</v>
      </c>
      <c r="E89" s="21">
        <v>990</v>
      </c>
      <c r="F89" s="21">
        <v>1508</v>
      </c>
      <c r="G89" s="21">
        <v>5634</v>
      </c>
    </row>
    <row r="90" spans="1:7" x14ac:dyDescent="0.25">
      <c r="A90" s="30" t="s">
        <v>15</v>
      </c>
      <c r="B90" s="21">
        <v>1598</v>
      </c>
      <c r="C90" s="21">
        <v>1907</v>
      </c>
      <c r="D90" s="21">
        <v>869</v>
      </c>
      <c r="E90" s="21">
        <v>1426</v>
      </c>
      <c r="F90" s="21">
        <v>1416</v>
      </c>
      <c r="G90" s="21">
        <v>7216</v>
      </c>
    </row>
    <row r="91" spans="1:7" x14ac:dyDescent="0.25">
      <c r="A91" s="30" t="s">
        <v>5</v>
      </c>
      <c r="B91" s="21">
        <v>900</v>
      </c>
      <c r="C91" s="21">
        <v>1016</v>
      </c>
      <c r="D91" s="21">
        <v>960</v>
      </c>
      <c r="E91" s="21">
        <v>940</v>
      </c>
      <c r="F91" s="21">
        <v>1193</v>
      </c>
      <c r="G91" s="21">
        <v>5009</v>
      </c>
    </row>
    <row r="92" spans="1:7" x14ac:dyDescent="0.25">
      <c r="A92" s="30" t="s">
        <v>18</v>
      </c>
      <c r="B92" s="21">
        <v>900</v>
      </c>
      <c r="C92" s="21">
        <v>1470</v>
      </c>
      <c r="D92" s="21">
        <v>1617</v>
      </c>
      <c r="E92" s="21">
        <v>1314</v>
      </c>
      <c r="F92" s="21">
        <v>941</v>
      </c>
      <c r="G92" s="21">
        <v>6242</v>
      </c>
    </row>
    <row r="93" spans="1:7" x14ac:dyDescent="0.25">
      <c r="A93" s="30" t="s">
        <v>14</v>
      </c>
      <c r="B93" s="21">
        <v>1255</v>
      </c>
      <c r="C93" s="21">
        <v>516</v>
      </c>
      <c r="D93" s="21">
        <v>1874</v>
      </c>
      <c r="E93" s="21">
        <v>1863</v>
      </c>
      <c r="F93" s="21">
        <v>1722</v>
      </c>
      <c r="G93" s="21">
        <v>7230</v>
      </c>
    </row>
    <row r="94" spans="1:7" x14ac:dyDescent="0.25">
      <c r="A94" s="30" t="s">
        <v>19</v>
      </c>
      <c r="B94" s="21">
        <v>1138</v>
      </c>
      <c r="C94" s="21">
        <v>1898</v>
      </c>
      <c r="D94" s="21">
        <v>1482</v>
      </c>
      <c r="E94" s="21">
        <v>846</v>
      </c>
      <c r="F94" s="21">
        <v>1154</v>
      </c>
      <c r="G94" s="21">
        <v>6518</v>
      </c>
    </row>
    <row r="95" spans="1:7" x14ac:dyDescent="0.25">
      <c r="A95" s="25" t="s">
        <v>999</v>
      </c>
      <c r="B95" s="29"/>
      <c r="C95" s="29"/>
      <c r="D95" s="29"/>
      <c r="E95" s="29"/>
      <c r="F95" s="29"/>
      <c r="G95" s="29"/>
    </row>
    <row r="96" spans="1:7" x14ac:dyDescent="0.25">
      <c r="A96" s="30" t="s">
        <v>17</v>
      </c>
      <c r="B96" s="21">
        <v>1655</v>
      </c>
      <c r="C96" s="21">
        <v>805</v>
      </c>
      <c r="D96" s="21">
        <v>2263</v>
      </c>
      <c r="E96" s="21">
        <v>987</v>
      </c>
      <c r="F96" s="21">
        <v>1075</v>
      </c>
      <c r="G96" s="21">
        <v>6785</v>
      </c>
    </row>
    <row r="97" spans="1:7" x14ac:dyDescent="0.25">
      <c r="A97" s="30" t="s">
        <v>23</v>
      </c>
      <c r="B97" s="21">
        <v>1104</v>
      </c>
      <c r="C97" s="21">
        <v>2280</v>
      </c>
      <c r="D97" s="21">
        <v>1445</v>
      </c>
      <c r="E97" s="21">
        <v>1722</v>
      </c>
      <c r="F97" s="21">
        <v>1196</v>
      </c>
      <c r="G97" s="21">
        <v>7747</v>
      </c>
    </row>
    <row r="98" spans="1:7" x14ac:dyDescent="0.25">
      <c r="A98" s="30" t="s">
        <v>7</v>
      </c>
      <c r="B98" s="21">
        <v>372</v>
      </c>
      <c r="C98" s="21">
        <v>1818</v>
      </c>
      <c r="D98" s="21">
        <v>1346</v>
      </c>
      <c r="E98" s="21">
        <v>1156</v>
      </c>
      <c r="F98" s="21">
        <v>1484</v>
      </c>
      <c r="G98" s="21">
        <v>6176</v>
      </c>
    </row>
    <row r="99" spans="1:7" x14ac:dyDescent="0.25">
      <c r="A99" s="30" t="s">
        <v>22</v>
      </c>
      <c r="B99" s="21">
        <v>1415</v>
      </c>
      <c r="C99" s="21">
        <v>1271</v>
      </c>
      <c r="D99" s="21">
        <v>1214</v>
      </c>
      <c r="E99" s="21">
        <v>1135</v>
      </c>
      <c r="F99" s="21">
        <v>1566</v>
      </c>
      <c r="G99" s="21">
        <v>6601</v>
      </c>
    </row>
    <row r="100" spans="1:7" x14ac:dyDescent="0.25">
      <c r="A100" s="30" t="s">
        <v>21</v>
      </c>
      <c r="B100" s="21">
        <v>1362</v>
      </c>
      <c r="C100" s="21">
        <v>1363</v>
      </c>
      <c r="D100" s="21">
        <v>1152</v>
      </c>
      <c r="E100" s="21">
        <v>777</v>
      </c>
      <c r="F100" s="21">
        <v>750</v>
      </c>
      <c r="G100" s="21">
        <v>5404</v>
      </c>
    </row>
  </sheetData>
  <mergeCells count="1">
    <mergeCell ref="H40:M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91" zoomScaleNormal="115" workbookViewId="0">
      <selection activeCell="I6" sqref="I6"/>
    </sheetView>
  </sheetViews>
  <sheetFormatPr defaultRowHeight="15" x14ac:dyDescent="0.25"/>
  <cols>
    <col min="5" max="5" width="10.875" customWidth="1"/>
    <col min="6" max="6" width="9.875" customWidth="1"/>
  </cols>
  <sheetData>
    <row r="2" spans="5:6" x14ac:dyDescent="0.25">
      <c r="E2" t="s">
        <v>1039</v>
      </c>
      <c r="F2" t="s">
        <v>1040</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A655-06FA-48D1-A75F-29D21EF03F80}">
  <sheetPr>
    <pageSetUpPr fitToPage="1"/>
  </sheetPr>
  <dimension ref="A1:AR205"/>
  <sheetViews>
    <sheetView tabSelected="1" zoomScale="60" zoomScaleNormal="60" workbookViewId="0">
      <selection activeCell="Z29" sqref="Z29"/>
    </sheetView>
  </sheetViews>
  <sheetFormatPr defaultRowHeight="15" x14ac:dyDescent="0.25"/>
  <cols>
    <col min="1" max="2" width="4.25" customWidth="1"/>
    <col min="5" max="5" width="2.375" customWidth="1"/>
    <col min="18" max="18" width="5.375" customWidth="1"/>
  </cols>
  <sheetData>
    <row r="1" spans="1:44" ht="33.75" customHeight="1" x14ac:dyDescent="0.25">
      <c r="A1" s="31" t="s">
        <v>1079</v>
      </c>
      <c r="B1" s="31"/>
      <c r="C1" s="31"/>
      <c r="D1" s="31"/>
      <c r="E1" s="31"/>
      <c r="F1" s="31"/>
      <c r="G1" s="31"/>
      <c r="H1" s="31"/>
      <c r="I1" s="31"/>
      <c r="J1" s="31"/>
      <c r="K1" s="31"/>
      <c r="L1" s="31"/>
      <c r="M1" s="31"/>
      <c r="N1" s="31"/>
      <c r="O1" s="31"/>
      <c r="P1" s="31"/>
      <c r="Q1" s="31"/>
      <c r="R1" s="31"/>
      <c r="S1" s="31"/>
      <c r="T1" s="31"/>
      <c r="U1" s="31"/>
      <c r="V1" s="31"/>
      <c r="W1" s="31"/>
      <c r="X1" s="20"/>
      <c r="Y1" s="20"/>
      <c r="Z1" s="20"/>
      <c r="AA1" s="20"/>
      <c r="AB1" s="20"/>
      <c r="AC1" s="20"/>
      <c r="AD1" s="20"/>
      <c r="AE1" s="20"/>
      <c r="AF1" s="20"/>
      <c r="AG1" s="20"/>
      <c r="AH1" s="20"/>
      <c r="AI1" s="20"/>
      <c r="AJ1" s="20"/>
      <c r="AK1" s="20"/>
      <c r="AL1" s="20"/>
      <c r="AM1" s="20"/>
      <c r="AN1" s="20"/>
      <c r="AO1" s="20"/>
      <c r="AP1" s="20"/>
      <c r="AQ1" s="20"/>
      <c r="AR1" s="20"/>
    </row>
    <row r="2" spans="1:44"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row>
    <row r="3" spans="1:44"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row>
    <row r="4" spans="1:44"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row>
    <row r="5" spans="1:44"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row>
    <row r="6" spans="1:44"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row>
    <row r="7" spans="1:44"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row>
    <row r="8" spans="1:44"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row>
    <row r="10" spans="1:44"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row>
    <row r="11" spans="1:44"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row>
    <row r="12" spans="1:44"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row>
    <row r="13" spans="1:44"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row>
    <row r="14" spans="1:44"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row>
    <row r="15" spans="1:44"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row>
    <row r="16" spans="1:44"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1:44"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1:44"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row>
    <row r="19" spans="1:44"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1:44"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row>
    <row r="21" spans="1:44"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row>
    <row r="22" spans="1:44"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row>
    <row r="23" spans="1:44"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row>
    <row r="24" spans="1:44"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row>
    <row r="25" spans="1:44"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row>
    <row r="26" spans="1:44"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row>
    <row r="27" spans="1:44"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row>
    <row r="28" spans="1:44"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row>
    <row r="29" spans="1:44"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row>
    <row r="30" spans="1:44"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row>
    <row r="31" spans="1:44"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row>
    <row r="32" spans="1:44"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row>
    <row r="33" spans="1:44"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row>
    <row r="34" spans="1:44"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row>
    <row r="35" spans="1:44"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row>
    <row r="36" spans="1:44"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row>
    <row r="37" spans="1:44"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row>
    <row r="38" spans="1:44"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row>
    <row r="39" spans="1:44"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row>
    <row r="40" spans="1:44"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row>
    <row r="41" spans="1:44"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row>
    <row r="42" spans="1:44"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row>
    <row r="43" spans="1:44"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row>
    <row r="44" spans="1:44"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row>
    <row r="45" spans="1:44"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row>
    <row r="46" spans="1:44"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row>
    <row r="47" spans="1:44"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row>
    <row r="48" spans="1:44"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row>
    <row r="49" spans="1:44"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row>
    <row r="50" spans="1:44"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row>
    <row r="51" spans="1:44"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row>
    <row r="52" spans="1:44"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row>
    <row r="53" spans="1:44"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row>
    <row r="54" spans="1:44"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row>
    <row r="55" spans="1:44"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row>
    <row r="56" spans="1:44"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row>
    <row r="57" spans="1:44"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row>
    <row r="58" spans="1:44"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row>
    <row r="59" spans="1:44"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row>
    <row r="60" spans="1:44"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row>
    <row r="61" spans="1:44"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row>
    <row r="62" spans="1:44"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row>
    <row r="63" spans="1:44"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row>
    <row r="64" spans="1:44"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row>
    <row r="65" spans="1:44"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row>
    <row r="66" spans="1:44"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row>
    <row r="67" spans="1:44"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row>
    <row r="68" spans="1:44"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row>
    <row r="69" spans="1:44"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row>
    <row r="70" spans="1:44"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row>
    <row r="71" spans="1:44"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row>
    <row r="72" spans="1:44"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row>
    <row r="73" spans="1:44"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row>
    <row r="74" spans="1:44"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row>
    <row r="75" spans="1:44"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row>
    <row r="76" spans="1:44"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row>
    <row r="77" spans="1:44"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row>
    <row r="78" spans="1:44"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row>
    <row r="79" spans="1:44"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row>
    <row r="80" spans="1:44"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row>
    <row r="81" spans="1:44"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row>
    <row r="82" spans="1:44"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row>
    <row r="83" spans="1:44"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row>
    <row r="84" spans="1:44"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row>
    <row r="85" spans="1:44"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row>
    <row r="86" spans="1:44"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row>
    <row r="87" spans="1:44"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row>
    <row r="88" spans="1:44"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row>
    <row r="89" spans="1:44"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row>
    <row r="90" spans="1:44"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row>
    <row r="91" spans="1:44"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row>
    <row r="92" spans="1:44"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row>
    <row r="93" spans="1:44"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row>
    <row r="94" spans="1:44"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row>
    <row r="95" spans="1:44"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row>
    <row r="96" spans="1:44"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row>
    <row r="97" spans="1:44"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row>
    <row r="98" spans="1:44"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row>
    <row r="99" spans="1:44"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row>
    <row r="100" spans="1:44"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row>
    <row r="101" spans="1:44"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row>
    <row r="102" spans="1:44"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row>
    <row r="103" spans="1:44"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row>
    <row r="104" spans="1:44"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row>
    <row r="105" spans="1:44"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row>
    <row r="106" spans="1:44"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row>
    <row r="107" spans="1:44"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row>
    <row r="108" spans="1:44"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row>
    <row r="109" spans="1:44"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row>
    <row r="110" spans="1:44"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row>
    <row r="111" spans="1:44"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row>
    <row r="112" spans="1:44"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row>
    <row r="113" spans="1:44"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row>
    <row r="114" spans="1:44"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row>
    <row r="115" spans="1:44"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row>
    <row r="116" spans="1:44"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row>
    <row r="117" spans="1:44"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row>
    <row r="118" spans="1:44"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row>
    <row r="119" spans="1:44"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row>
    <row r="120" spans="1:44"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row>
    <row r="121" spans="1:44"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row>
    <row r="122" spans="1:44"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row>
    <row r="123" spans="1:44"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row>
    <row r="124" spans="1:44"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row>
    <row r="125" spans="1:44"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row>
    <row r="126" spans="1:44"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row>
    <row r="127" spans="1:44"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row>
    <row r="128" spans="1:44"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row>
    <row r="129" spans="1:44"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row>
    <row r="130" spans="1:44"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row>
    <row r="131" spans="1:44"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row>
    <row r="132" spans="1:44"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row>
    <row r="133" spans="1:44"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row>
    <row r="134" spans="1:44"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row>
    <row r="135" spans="1:44"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row>
    <row r="136" spans="1:44"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row>
    <row r="137" spans="1:44"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row>
    <row r="138" spans="1:44"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row>
    <row r="139" spans="1:44"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row>
    <row r="140" spans="1:44"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row>
    <row r="141" spans="1:44"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row>
    <row r="142" spans="1:44"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row>
    <row r="143" spans="1:44"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row>
    <row r="144" spans="1:44"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row>
    <row r="145" spans="1:44"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row>
    <row r="146" spans="1:44"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row>
    <row r="147" spans="1:44"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row>
    <row r="148" spans="1:44"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row>
    <row r="149" spans="1:44"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row>
    <row r="150" spans="1:44"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row>
    <row r="151" spans="1:44"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row>
    <row r="152" spans="1:44"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row>
    <row r="153" spans="1:44"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row>
    <row r="154" spans="1:44"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row>
    <row r="155" spans="1:44"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row>
    <row r="156" spans="1:44"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row>
    <row r="157" spans="1:44"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row>
    <row r="158" spans="1:44"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row>
    <row r="159" spans="1:44"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row>
    <row r="160" spans="1:44"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row>
    <row r="161" spans="1:44"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row>
    <row r="162" spans="1:44"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row>
    <row r="163" spans="1:44"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row>
    <row r="164" spans="1:44"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row>
    <row r="165" spans="1:44"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row>
    <row r="166" spans="1:44"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row>
    <row r="167" spans="1:44"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row>
    <row r="168" spans="1:44"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row>
    <row r="169" spans="1:44"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row>
    <row r="170" spans="1:44"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row>
    <row r="171" spans="1:44"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row>
    <row r="172" spans="1:44"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row>
    <row r="173" spans="1:44"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row>
    <row r="174" spans="1:44"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row>
    <row r="175" spans="1:44"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row>
    <row r="176" spans="1:44"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row>
    <row r="177" spans="1:44"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row>
    <row r="178" spans="1:44"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row>
    <row r="179" spans="1:44"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row>
    <row r="180" spans="1:44"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row>
    <row r="181" spans="1:44"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row>
    <row r="182" spans="1:44"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row>
    <row r="183" spans="1:44"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row>
    <row r="184" spans="1:44"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row>
    <row r="185" spans="1:44"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row>
    <row r="186" spans="1:44"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row>
    <row r="187" spans="1:44"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row>
    <row r="188" spans="1:44"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row>
    <row r="189" spans="1:44"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row>
    <row r="190" spans="1:44"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row>
    <row r="191" spans="1:44"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row>
    <row r="192" spans="1:44"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row>
    <row r="193" spans="1:44"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row>
    <row r="194" spans="1:44"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row>
    <row r="195" spans="1:44"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row>
    <row r="196" spans="1:44"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row>
    <row r="197" spans="1:44"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row>
    <row r="198" spans="1:44"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row>
    <row r="199" spans="1:44"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row>
    <row r="200" spans="1:44"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row>
    <row r="201" spans="1:44"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row>
    <row r="202" spans="1:44"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row>
    <row r="203" spans="1:44"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row>
    <row r="204" spans="1:44"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row>
    <row r="205" spans="1:44"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row>
  </sheetData>
  <mergeCells count="1">
    <mergeCell ref="A1:W1"/>
  </mergeCells>
  <pageMargins left="0.70866141732283472" right="0.70866141732283472" top="0.74803149606299213" bottom="0.74803149606299213" header="0.31496062992125984" footer="0.31496062992125984"/>
  <pageSetup paperSize="9" scale="15"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Assets</vt:lpstr>
      <vt:lpstr>Customer Support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SANT KUMAR</cp:lastModifiedBy>
  <cp:lastPrinted>2026-10-13T16:38:17Z</cp:lastPrinted>
  <dcterms:created xsi:type="dcterms:W3CDTF">2021-03-14T20:21:32Z</dcterms:created>
  <dcterms:modified xsi:type="dcterms:W3CDTF">2026-10-14T04:59:44Z</dcterms:modified>
</cp:coreProperties>
</file>