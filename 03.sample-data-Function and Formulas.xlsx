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xcel\"/>
    </mc:Choice>
  </mc:AlternateContent>
  <xr:revisionPtr revIDLastSave="0" documentId="13_ncr:1_{D6214D2C-F283-4905-9FF4-63F55F77885C}" xr6:coauthVersionLast="47" xr6:coauthVersionMax="47" xr10:uidLastSave="{00000000-0000-0000-0000-000000000000}"/>
  <bookViews>
    <workbookView xWindow="-120" yWindow="-120" windowWidth="20730" windowHeight="11040" firstSheet="6" activeTab="8" xr2:uid="{26D4546B-D2A1-4444-8EAF-A6228F96F0C1}"/>
  </bookViews>
  <sheets>
    <sheet name="Concepts" sheetId="2" r:id="rId1"/>
    <sheet name="Data" sheetId="1" r:id="rId2"/>
    <sheet name="Q1 SumIf CountIfs" sheetId="3" r:id="rId3"/>
    <sheet name="Q2 Large,Filter, Take, Sort" sheetId="4" r:id="rId4"/>
    <sheet name="Q3 Filter" sheetId="5" r:id="rId5"/>
    <sheet name="Q4 Min, Max, Sort+Take" sheetId="6" r:id="rId6"/>
    <sheet name="Q5 Unique CountA" sheetId="7" r:id="rId7"/>
    <sheet name="Q6 Vlookup INDEX" sheetId="8" r:id="rId8"/>
    <sheet name="Q8,Q9 XLOOKUP MAX" sheetId="9" r:id="rId9"/>
    <sheet name="Q10" sheetId="12" r:id="rId10"/>
  </sheets>
  <definedNames>
    <definedName name="_xlnm._FilterDatabase" localSheetId="9" hidden="1">'Q10'!$M$6:$Y$266</definedName>
    <definedName name="_xlnm._FilterDatabase" localSheetId="3" hidden="1">'Q2 Large,Filter, Take, Sort'!$B$5:$N$52</definedName>
    <definedName name="_xlnm._FilterDatabase" localSheetId="7" hidden="1">'Q6 Vlookup INDEX'!$O$6:$AA$266</definedName>
    <definedName name="_xlnm._FilterDatabase" localSheetId="8" hidden="1">'Q8,Q9 XLOOKUP MAX'!$AJ$59:$AV$186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2" l="1"/>
  <c r="K9" i="12"/>
  <c r="K11" i="12" s="1"/>
  <c r="K10" i="12"/>
  <c r="H5" i="12"/>
  <c r="AA7" i="12" a="1"/>
  <c r="AA7" i="12" s="1"/>
  <c r="M6" i="12" a="1"/>
  <c r="M6" i="12" s="1"/>
  <c r="M7" i="12" a="1"/>
  <c r="M7" i="12" s="1"/>
  <c r="B8" i="12" a="1"/>
  <c r="B8" i="12" s="1"/>
  <c r="H8" i="12" s="1" a="1"/>
  <c r="H8" i="12" s="1"/>
  <c r="G5" i="12"/>
  <c r="D5" i="12"/>
  <c r="C5" i="12"/>
  <c r="F15" i="9" a="1"/>
  <c r="F15" i="9" s="1"/>
  <c r="B16" i="9" a="1"/>
  <c r="B16" i="9" s="1"/>
  <c r="U12" i="9" a="1"/>
  <c r="U12" i="9" s="1"/>
  <c r="U13" i="9" a="1"/>
  <c r="U13" i="9" s="1"/>
  <c r="C10" i="9" a="1"/>
  <c r="C10" i="9" s="1"/>
  <c r="C6" i="9" a="1"/>
  <c r="C6" i="9" s="1"/>
  <c r="A39" i="8" a="1"/>
  <c r="A39" i="8" s="1"/>
  <c r="A36" i="8" a="1"/>
  <c r="A36" i="8" s="1"/>
  <c r="A35" i="8" a="1"/>
  <c r="A35" i="8" s="1"/>
  <c r="AE16" i="8" a="1"/>
  <c r="AE16" i="8" s="1"/>
  <c r="M29" i="8"/>
  <c r="M28" i="8"/>
  <c r="M27" i="8"/>
  <c r="F23" i="8"/>
  <c r="F22" i="8"/>
  <c r="F21" i="8"/>
  <c r="F20" i="8"/>
  <c r="M16" i="8"/>
  <c r="M19" i="8"/>
  <c r="M18" i="8"/>
  <c r="M17" i="8"/>
  <c r="F12" i="8"/>
  <c r="F11" i="8"/>
  <c r="F10" i="8"/>
  <c r="F9" i="8"/>
  <c r="F19" i="8"/>
  <c r="D22" i="8" s="1" a="1"/>
  <c r="D22" i="8" s="1"/>
  <c r="E23" i="8"/>
  <c r="L29" i="8"/>
  <c r="L28" i="8"/>
  <c r="L27" i="8"/>
  <c r="L26" i="8"/>
  <c r="K29" i="8" s="1" a="1"/>
  <c r="K29" i="8" s="1"/>
  <c r="E22" i="8"/>
  <c r="E21" i="8"/>
  <c r="E20" i="8"/>
  <c r="E9" i="8"/>
  <c r="D10" i="8"/>
  <c r="D11" i="8"/>
  <c r="D12" i="8"/>
  <c r="D9" i="8"/>
  <c r="E10" i="8"/>
  <c r="E11" i="8"/>
  <c r="E12" i="8"/>
  <c r="B6" i="7" a="1"/>
  <c r="B6" i="7" s="1"/>
  <c r="F23" i="6" a="1"/>
  <c r="F23" i="6" s="1"/>
  <c r="D23" i="6" a="1"/>
  <c r="D23" i="6" s="1"/>
  <c r="G9" i="6"/>
  <c r="E9" i="6"/>
  <c r="G8" i="6"/>
  <c r="E8" i="6"/>
  <c r="O8" i="6" a="1"/>
  <c r="O8" i="6" s="1"/>
  <c r="O9" i="6" a="1"/>
  <c r="O9" i="6" s="1"/>
  <c r="D8" i="6" a="1"/>
  <c r="D8" i="6" s="1"/>
  <c r="S6" i="4" a="1"/>
  <c r="S6" i="4" s="1"/>
  <c r="C23" i="6" a="1"/>
  <c r="C23" i="6" s="1"/>
  <c r="V7" i="4" a="1"/>
  <c r="V7" i="4" s="1"/>
  <c r="F9" i="6" a="1"/>
  <c r="F9" i="6" s="1"/>
  <c r="D9" i="6" a="1"/>
  <c r="D9" i="6" s="1"/>
  <c r="F8" i="6" a="1"/>
  <c r="F8" i="6" s="1"/>
  <c r="I8" i="6" a="1"/>
  <c r="I8" i="6" s="1"/>
  <c r="C10" i="6" s="1"/>
  <c r="C9" i="6"/>
  <c r="C8" i="6"/>
  <c r="D36" i="5" a="1"/>
  <c r="D36" i="5" s="1"/>
  <c r="D37" i="5" a="1"/>
  <c r="D37" i="5" s="1"/>
  <c r="S6" i="5" a="1"/>
  <c r="S6" i="5" s="1"/>
  <c r="S5" i="5" a="1"/>
  <c r="S5" i="5" s="1"/>
  <c r="E5" i="5" a="1"/>
  <c r="E5" i="5" s="1"/>
  <c r="E6" i="5" a="1"/>
  <c r="E6" i="5" s="1"/>
  <c r="B59" i="4" a="1"/>
  <c r="B59" i="4" s="1"/>
  <c r="B60" i="4" a="1"/>
  <c r="B60" i="4" s="1"/>
  <c r="B5" i="4" a="1"/>
  <c r="B5" i="4" s="1"/>
  <c r="AN8" i="4" a="1"/>
  <c r="AN8" i="4" s="1"/>
  <c r="B6" i="4" a="1"/>
  <c r="B6" i="4" s="1"/>
  <c r="AE10" i="3" a="1"/>
  <c r="AE10" i="3" s="1"/>
  <c r="AC10" i="3" a="1"/>
  <c r="AC10" i="3" s="1"/>
  <c r="G7" i="3" a="1"/>
  <c r="G7" i="3" s="1"/>
  <c r="C7" i="3" a="1"/>
  <c r="C7" i="3" s="1"/>
  <c r="E7" i="3" a="1"/>
  <c r="E7" i="3" s="1"/>
  <c r="AB10" i="3" a="1"/>
  <c r="AB10" i="3" s="1"/>
  <c r="D7" i="3" a="1"/>
  <c r="D7" i="3" s="1"/>
  <c r="AA10" i="3" a="1"/>
  <c r="AA10" i="3" s="1"/>
  <c r="AB7" i="12" l="1"/>
  <c r="H14" i="12" a="1"/>
  <c r="H14" i="12" s="1"/>
  <c r="C8" i="12" a="1"/>
  <c r="C8" i="12" s="1"/>
  <c r="H11" i="12" a="1"/>
  <c r="H11" i="12" s="1"/>
  <c r="AB18" i="12"/>
  <c r="AB14" i="12"/>
  <c r="AB10" i="12"/>
  <c r="H19" i="12" a="1"/>
  <c r="H19" i="12" s="1"/>
  <c r="H10" i="12" a="1"/>
  <c r="H10" i="12" s="1"/>
  <c r="AB17" i="12"/>
  <c r="AB13" i="12"/>
  <c r="AB9" i="12"/>
  <c r="AB19" i="12"/>
  <c r="AB15" i="12"/>
  <c r="AB11" i="12"/>
  <c r="H16" i="12" a="1"/>
  <c r="H16" i="12" s="1"/>
  <c r="H12" i="12" a="1"/>
  <c r="H12" i="12" s="1"/>
  <c r="AB16" i="12"/>
  <c r="AB12" i="12"/>
  <c r="AB8" i="12"/>
  <c r="G8" i="12" a="1"/>
  <c r="G8" i="12" s="1"/>
  <c r="H18" i="12" a="1"/>
  <c r="H18" i="12" s="1"/>
  <c r="H15" i="12" a="1"/>
  <c r="H15" i="12" s="1"/>
  <c r="H20" i="12" a="1"/>
  <c r="H20" i="12" s="1"/>
  <c r="H13" i="12" a="1"/>
  <c r="H13" i="12" s="1"/>
  <c r="AJ60" i="9" a="1"/>
  <c r="AJ60" i="9" s="1"/>
  <c r="H17" i="12" a="1"/>
  <c r="H17" i="12" s="1"/>
  <c r="H9" i="12" a="1"/>
  <c r="H9" i="12" s="1"/>
  <c r="I8" i="12" a="1"/>
  <c r="I8" i="12" s="1"/>
  <c r="D8" i="12" a="1"/>
  <c r="AW60" i="9" a="1"/>
  <c r="AW60" i="9" s="1"/>
  <c r="E15" i="9" a="1"/>
  <c r="E15" i="9" s="1"/>
  <c r="AJ32" i="9" a="1"/>
  <c r="AJ32" i="9" s="1"/>
  <c r="AJ14" i="9" a="1"/>
  <c r="AJ14" i="9" s="1"/>
  <c r="I6" i="7"/>
  <c r="L19" i="8"/>
  <c r="L18" i="8"/>
  <c r="L17" i="8"/>
  <c r="L16" i="8"/>
  <c r="K27" i="8" a="1"/>
  <c r="K27" i="8" s="1"/>
  <c r="K28" i="8" a="1"/>
  <c r="K28" i="8" s="1"/>
  <c r="D21" i="8" a="1"/>
  <c r="D21" i="8" s="1"/>
  <c r="D20" i="8" a="1"/>
  <c r="D20" i="8" s="1"/>
  <c r="T11" i="4"/>
  <c r="T17" i="4" a="1"/>
  <c r="T17" i="4" s="1"/>
  <c r="AF15" i="6" a="1"/>
  <c r="AF15" i="6" s="1"/>
  <c r="T12" i="4" a="1"/>
  <c r="T12" i="4" s="1"/>
  <c r="T14" i="4" a="1"/>
  <c r="T14" i="4" s="1"/>
  <c r="AD28" i="6" a="1"/>
  <c r="AD28" i="6" s="1"/>
  <c r="R10" i="4" a="1"/>
  <c r="R10" i="4" s="1"/>
  <c r="T16" i="4" a="1"/>
  <c r="T16" i="4" s="1"/>
  <c r="T13" i="4" a="1"/>
  <c r="T13" i="4" s="1"/>
  <c r="T10" i="4"/>
  <c r="T18" i="4" a="1"/>
  <c r="T18" i="4" s="1"/>
  <c r="T15" i="4" a="1"/>
  <c r="T15" i="4" s="1"/>
  <c r="G5" i="7"/>
  <c r="Q17" i="4" a="1"/>
  <c r="Q17" i="4" s="1"/>
  <c r="Q11" i="4" a="1"/>
  <c r="Q11" i="4" s="1"/>
  <c r="Q18" i="4" a="1"/>
  <c r="Q18" i="4" s="1"/>
  <c r="T23" i="4" a="1"/>
  <c r="T23" i="4" s="1"/>
  <c r="Q304" i="4" a="1"/>
  <c r="Q304" i="4" s="1"/>
  <c r="T19" i="4" a="1"/>
  <c r="T19" i="4" s="1"/>
  <c r="T21" i="4" a="1"/>
  <c r="T21" i="4" s="1"/>
  <c r="Q16" i="4" a="1"/>
  <c r="Q16" i="4" s="1"/>
  <c r="Q13" i="4" a="1"/>
  <c r="Q13" i="4" s="1"/>
  <c r="Q20" i="4" a="1"/>
  <c r="Q20" i="4" s="1"/>
  <c r="T20" i="4" a="1"/>
  <c r="T20" i="4" s="1"/>
  <c r="T22" i="4" a="1"/>
  <c r="T22" i="4" s="1"/>
  <c r="Q14" i="4" a="1"/>
  <c r="Q14" i="4" s="1"/>
  <c r="Q19" i="4" a="1"/>
  <c r="Q19" i="4" s="1"/>
  <c r="Q15" i="4" a="1"/>
  <c r="Q15" i="4" s="1"/>
  <c r="Q12" i="4" a="1"/>
  <c r="Q12" i="4" s="1"/>
  <c r="Q10" i="4" a="1"/>
  <c r="Q10" i="4" s="1"/>
  <c r="T24" i="4" a="1"/>
  <c r="T24" i="4" s="1"/>
  <c r="C15" i="6"/>
  <c r="C12" i="6"/>
  <c r="C19" i="6"/>
  <c r="D14" i="6" a="1"/>
  <c r="D14" i="6" s="1"/>
  <c r="F17" i="6" a="1"/>
  <c r="F17" i="6" s="1"/>
  <c r="F13" i="6" a="1"/>
  <c r="F13" i="6" s="1"/>
  <c r="C13" i="6"/>
  <c r="D18" i="6" a="1"/>
  <c r="D18" i="6" s="1"/>
  <c r="D13" i="6" a="1"/>
  <c r="D13" i="6" s="1"/>
  <c r="F10" i="6" a="1"/>
  <c r="F10" i="6" s="1"/>
  <c r="F16" i="6" a="1"/>
  <c r="F16" i="6" s="1"/>
  <c r="F12" i="6" a="1"/>
  <c r="F12" i="6" s="1"/>
  <c r="C16" i="6"/>
  <c r="C11" i="6"/>
  <c r="C18" i="6"/>
  <c r="D19" i="6" a="1"/>
  <c r="D19" i="6" s="1"/>
  <c r="D10" i="6" a="1"/>
  <c r="D10" i="6" s="1"/>
  <c r="C14" i="6"/>
  <c r="C17" i="6"/>
  <c r="D17" i="6" a="1"/>
  <c r="D17" i="6" s="1"/>
  <c r="D12" i="6" a="1"/>
  <c r="D12" i="6" s="1"/>
  <c r="F19" i="6" a="1"/>
  <c r="F19" i="6" s="1"/>
  <c r="F15" i="6" a="1"/>
  <c r="F15" i="6" s="1"/>
  <c r="F11" i="6" a="1"/>
  <c r="F11" i="6" s="1"/>
  <c r="D15" i="6" a="1"/>
  <c r="D15" i="6" s="1"/>
  <c r="D16" i="6" a="1"/>
  <c r="D16" i="6" s="1"/>
  <c r="D11" i="6" a="1"/>
  <c r="D11" i="6" s="1"/>
  <c r="F18" i="6" a="1"/>
  <c r="F18" i="6" s="1"/>
  <c r="F14" i="6" a="1"/>
  <c r="F14" i="6" s="1"/>
  <c r="D8" i="12" l="1"/>
  <c r="E8" i="12" s="1" a="1"/>
  <c r="E8" i="12" l="1"/>
  <c r="F8" i="12" s="1" a="1"/>
  <c r="F8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<sst xmlns="http://schemas.openxmlformats.org/spreadsheetml/2006/main" count="9358" uniqueCount="839">
  <si>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</si>
  <si>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</si>
  <si>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</si>
  <si>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</si>
  <si>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</si>
  <si>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</si>
  <si>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</si>
  <si>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</si>
  <si>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</si>
  <si>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</si>
  <si>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</si>
  <si>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</si>
  <si>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</si>
  <si>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</si>
  <si>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</si>
  <si>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</si>
  <si>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</si>
  <si>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</si>
  <si>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</si>
  <si>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</si>
  <si>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</si>
  <si>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</si>
  <si>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</si>
  <si>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</si>
  <si>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</si>
  <si>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</si>
  <si>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</si>
  <si>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</si>
  <si>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</si>
  <si>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</si>
  <si>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</si>
  <si>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</si>
  <si>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</si>
  <si>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</si>
  <si>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</si>
  <si>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</si>
  <si>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</si>
  <si>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</si>
  <si>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</si>
  <si>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</si>
  <si>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</si>
  <si>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</si>
  <si>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</si>
  <si>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</si>
  <si>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</si>
  <si>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</si>
  <si>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</si>
  <si>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</si>
  <si>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</si>
  <si>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</si>
  <si>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</si>
  <si>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</si>
  <si>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</si>
  <si>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</si>
  <si>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</si>
  <si>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</si>
  <si>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</si>
  <si>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</si>
  <si>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</si>
  <si>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</si>
  <si>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</si>
  <si>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</si>
  <si>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</si>
  <si>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</si>
  <si>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</si>
  <si>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</si>
  <si>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</si>
  <si>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</si>
  <si>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</si>
  <si>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</si>
  <si>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</si>
  <si>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</si>
  <si>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</si>
  <si>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</si>
  <si>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</si>
  <si>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</si>
  <si>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</si>
  <si>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</si>
  <si>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</si>
  <si>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</si>
  <si>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</si>
  <si>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</si>
  <si>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</si>
  <si>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</si>
  <si>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</si>
  <si>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</si>
  <si>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</si>
  <si>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</si>
  <si>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</si>
  <si>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</si>
  <si>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</si>
  <si>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</si>
  <si>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</si>
  <si>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</si>
  <si>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</si>
  <si>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</si>
  <si>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</si>
  <si>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</si>
  <si>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</si>
  <si>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</si>
  <si>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</si>
  <si>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</si>
  <si>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</si>
  <si>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</si>
  <si>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</si>
  <si>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</si>
  <si>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</si>
  <si>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</si>
  <si>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</si>
  <si>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</si>
  <si>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</si>
  <si>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</si>
  <si>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</si>
  <si>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</si>
  <si>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</si>
  <si>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</si>
  <si>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</si>
  <si>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</si>
  <si>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</si>
  <si>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</si>
  <si>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</si>
  <si>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</si>
  <si>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</si>
  <si>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</si>
  <si>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</si>
  <si>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</si>
  <si>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</si>
  <si>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</si>
  <si>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</si>
  <si>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</si>
  <si>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</si>
  <si>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</si>
  <si>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</si>
  <si>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</si>
  <si>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</si>
  <si>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</si>
  <si>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</si>
  <si>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</si>
  <si>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</si>
  <si>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</si>
  <si>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</si>
  <si>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</si>
  <si>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</si>
  <si>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</si>
  <si>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</si>
  <si>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</si>
  <si>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</si>
  <si>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</si>
  <si>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</si>
  <si>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</si>
  <si>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</si>
  <si>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</si>
  <si>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</si>
  <si>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</si>
  <si>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</si>
  <si>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</si>
  <si>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</si>
  <si>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</si>
  <si>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</si>
  <si>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</si>
  <si>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</si>
  <si>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</si>
  <si>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</si>
  <si>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</si>
  <si>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</si>
  <si>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</si>
  <si>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</si>
  <si>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</si>
  <si>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</si>
  <si>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</si>
  <si>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</si>
  <si>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</si>
  <si>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</si>
  <si>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</si>
  <si>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</si>
  <si>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</si>
  <si>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</si>
  <si>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</si>
  <si>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</si>
  <si>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</si>
  <si>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</si>
  <si>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</si>
  <si>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</si>
  <si>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</si>
  <si>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</si>
  <si>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</si>
  <si>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</si>
  <si>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</si>
  <si>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</si>
  <si>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</si>
  <si>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</si>
  <si>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</si>
  <si>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</si>
  <si>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</si>
  <si>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</si>
  <si>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</si>
  <si>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</si>
  <si>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</si>
  <si>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</si>
  <si>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</si>
  <si>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</si>
  <si>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</si>
  <si>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</si>
  <si>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</si>
  <si>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</si>
  <si>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</si>
  <si>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</si>
  <si>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</si>
  <si>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</si>
  <si>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</si>
  <si>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</si>
  <si>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</si>
  <si>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</si>
  <si>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</si>
  <si>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</si>
  <si>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</si>
  <si>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</si>
  <si>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</si>
  <si>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</si>
  <si>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</si>
  <si>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</si>
  <si>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</si>
  <si>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</si>
  <si>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</si>
  <si>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</si>
  <si>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</si>
  <si>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</si>
  <si>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</si>
  <si>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</si>
  <si>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</si>
  <si>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</si>
  <si>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</si>
  <si>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</si>
  <si>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</si>
  <si>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</si>
  <si>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</si>
  <si>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</si>
  <si>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</si>
  <si>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</si>
  <si>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</si>
  <si>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</si>
  <si>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</si>
  <si>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</si>
  <si>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</si>
  <si>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</si>
  <si>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</si>
  <si>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</si>
  <si>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</si>
  <si>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</si>
  <si>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</si>
  <si>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</si>
  <si>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</si>
  <si>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</si>
  <si>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</si>
  <si>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</si>
  <si>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</si>
  <si>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</si>
  <si>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</si>
  <si>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</si>
  <si>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</si>
  <si>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</si>
  <si>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</si>
  <si>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</si>
  <si>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</si>
  <si>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</si>
  <si>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</si>
  <si>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</si>
  <si>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</si>
  <si>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</si>
  <si>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</si>
  <si>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</si>
  <si>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</si>
  <si>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</si>
  <si>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</si>
  <si>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</si>
  <si>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</si>
  <si>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</si>
  <si>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</si>
  <si>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</si>
  <si>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</si>
  <si>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</si>
  <si>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</si>
  <si>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</si>
  <si>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</si>
  <si>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</si>
  <si>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</si>
  <si>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</si>
  <si>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</si>
  <si>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</si>
  <si>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</si>
  <si>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</si>
  <si>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</si>
  <si>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</si>
  <si>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</si>
  <si>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</si>
  <si>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</si>
  <si>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</si>
  <si>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</si>
  <si>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</si>
  <si>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</si>
  <si>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</si>
  <si>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</si>
  <si>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</si>
  <si>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</si>
  <si>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</si>
  <si>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</si>
  <si>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</si>
  <si>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</si>
  <si>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</si>
  <si>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</si>
  <si>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</si>
  <si>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</si>
  <si>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</si>
  <si>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</si>
  <si>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</si>
  <si>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</si>
  <si>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</si>
  <si>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</si>
  <si>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</si>
  <si>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</si>
  <si>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</si>
  <si>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</si>
  <si>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</si>
  <si>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</si>
  <si>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</si>
  <si>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</si>
  <si>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</si>
  <si>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</si>
  <si>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</si>
  <si>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</si>
  <si>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</si>
  <si>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</si>
  <si>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</si>
  <si>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</si>
  <si>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</si>
  <si>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</si>
  <si>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</si>
  <si>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</si>
  <si>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</si>
  <si>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</si>
  <si>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</si>
  <si>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</si>
  <si>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</si>
  <si>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</si>
  <si>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</si>
  <si>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</si>
  <si>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</si>
  <si>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</si>
  <si>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</si>
  <si>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</si>
  <si>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</si>
  <si>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</si>
  <si>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</si>
  <si>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</si>
  <si>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</si>
  <si>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</si>
  <si>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</si>
  <si>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</si>
  <si>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</si>
  <si>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</si>
  <si>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</si>
  <si>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</si>
  <si>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</si>
  <si>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</si>
  <si>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</si>
  <si>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</si>
  <si>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</si>
  <si>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</si>
  <si>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</si>
  <si>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</si>
  <si>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</si>
  <si>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</si>
  <si>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</si>
  <si>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</si>
  <si>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</si>
  <si>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</si>
  <si>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</si>
  <si>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</si>
  <si>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</si>
  <si>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</si>
  <si>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</si>
  <si>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</si>
  <si>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</si>
  <si>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</si>
  <si>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</si>
  <si>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</si>
  <si>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</si>
  <si>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</si>
  <si>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</si>
  <si>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</si>
  <si>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</si>
  <si>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</si>
  <si>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</si>
  <si>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</si>
  <si>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</si>
  <si>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</si>
  <si>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</si>
  <si>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</si>
  <si>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</si>
  <si>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</si>
  <si>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</si>
  <si>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</si>
  <si>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</si>
  <si>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</si>
  <si>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</si>
  <si>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</si>
  <si>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</si>
  <si>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</si>
  <si>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</si>
  <si>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</si>
  <si>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</si>
  <si>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</si>
  <si>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</si>
  <si>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</si>
  <si>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</si>
  <si>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</si>
  <si>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</si>
  <si>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</si>
  <si>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</si>
  <si>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</si>
  <si>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</si>
  <si>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</si>
  <si>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</si>
  <si>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</si>
  <si>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</si>
  <si>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</si>
  <si>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</si>
  <si>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</si>
  <si>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</si>
  <si>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</si>
  <si>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</si>
  <si>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</si>
  <si>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</si>
  <si>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</si>
  <si>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</si>
  <si>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</si>
  <si>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</si>
  <si>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</si>
  <si>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</si>
  <si>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</si>
  <si>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</si>
  <si>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</si>
  <si>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</si>
  <si>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</si>
  <si>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</si>
  <si>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</si>
  <si>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</si>
  <si>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</si>
  <si>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</si>
  <si>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</si>
  <si>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</si>
  <si>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</si>
  <si>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</si>
  <si>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</si>
  <si>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</si>
  <si>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</si>
  <si>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</si>
  <si>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</si>
  <si>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</si>
  <si>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</si>
  <si>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</si>
  <si>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</si>
  <si>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</si>
  <si>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</si>
  <si>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</si>
  <si>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</si>
  <si>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</si>
  <si>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</si>
  <si>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</si>
  <si>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</si>
  <si>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</si>
  <si>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</si>
  <si>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</si>
  <si>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</si>
  <si>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</si>
  <si>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</si>
  <si>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</si>
  <si>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</si>
  <si>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</si>
  <si>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</si>
  <si>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</si>
  <si>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</si>
  <si>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</si>
  <si>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</si>
  <si>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</si>
  <si>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</si>
  <si>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</si>
  <si>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</si>
  <si>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</si>
  <si>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</si>
  <si>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</si>
  <si>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</si>
  <si>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</si>
  <si>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</si>
  <si>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</si>
  <si>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</si>
  <si>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</si>
  <si>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</si>
  <si>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</si>
  <si>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</si>
  <si>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</si>
  <si>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</si>
  <si>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</si>
  <si>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</si>
  <si>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</si>
  <si>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</si>
  <si>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</si>
  <si>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</si>
  <si>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</si>
  <si>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</si>
  <si>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</si>
  <si>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</si>
  <si>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</si>
  <si>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</si>
  <si>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</si>
  <si>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</si>
  <si>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</si>
  <si>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</si>
  <si>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</si>
  <si>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</si>
  <si>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</si>
  <si>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</si>
  <si>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</si>
  <si>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</si>
  <si>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</si>
  <si>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</si>
  <si>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</si>
  <si>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</si>
  <si>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</si>
  <si>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</si>
  <si>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</si>
  <si>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</si>
  <si>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</si>
  <si>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</si>
  <si>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</si>
  <si>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</si>
  <si>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</si>
  <si>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</si>
  <si>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</si>
  <si>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</si>
  <si>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</si>
  <si>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</si>
  <si>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</si>
  <si>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</si>
  <si>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</si>
  <si>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</si>
  <si>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</si>
  <si>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</si>
  <si>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</si>
  <si>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</si>
  <si>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</si>
  <si>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</si>
  <si>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</si>
  <si>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</si>
  <si>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</si>
  <si>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</si>
  <si>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</si>
  <si>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</si>
  <si>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</si>
  <si>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</si>
  <si>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</si>
  <si>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</si>
  <si>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</si>
  <si>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</si>
  <si>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</si>
  <si>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</si>
  <si>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</si>
  <si>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</si>
  <si>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</si>
  <si>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</si>
  <si>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</si>
  <si>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</si>
  <si>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</si>
  <si>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</si>
  <si>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</si>
  <si>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</si>
  <si>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</si>
  <si>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</si>
  <si>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</si>
  <si>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</si>
  <si>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</si>
  <si>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</si>
  <si>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</si>
  <si>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</si>
  <si>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</si>
  <si>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</si>
  <si>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</si>
  <si>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</si>
  <si>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</si>
  <si>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</si>
  <si>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</si>
  <si>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</si>
  <si>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</si>
  <si>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</si>
  <si>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</si>
  <si>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</si>
  <si>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</si>
  <si>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</si>
  <si>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</si>
  <si>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</si>
  <si>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</si>
  <si>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</si>
  <si>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</si>
  <si>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</si>
  <si>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</si>
  <si>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</si>
  <si>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</si>
  <si>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</si>
  <si>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</si>
  <si>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</si>
  <si>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</si>
  <si>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</si>
  <si>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</si>
  <si>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</si>
  <si>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</si>
  <si>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</si>
  <si>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</si>
  <si>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</si>
  <si>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</si>
  <si>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</si>
  <si>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</si>
  <si>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</si>
  <si>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</si>
  <si>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</si>
  <si>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</si>
  <si>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</si>
  <si>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</si>
  <si>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</si>
  <si>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</si>
  <si>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</si>
  <si>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</si>
  <si>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</si>
  <si>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</si>
  <si>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</si>
  <si>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</si>
  <si>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</si>
  <si>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</si>
  <si>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</si>
  <si>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</si>
  <si>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</si>
  <si>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</si>
  <si>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</si>
  <si>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</si>
  <si>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</si>
  <si>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</si>
  <si>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</si>
  <si>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</si>
  <si>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</si>
  <si>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</si>
  <si>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</si>
  <si>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</si>
  <si>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</si>
  <si>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</si>
  <si>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</si>
  <si>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</si>
  <si>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</si>
  <si>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</si>
  <si>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</si>
  <si>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</si>
  <si>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</si>
  <si>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</si>
  <si>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</si>
  <si>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</si>
  <si>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</si>
  <si>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</si>
  <si>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</si>
  <si>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</si>
  <si>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</si>
  <si>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</si>
  <si>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</si>
  <si>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</si>
  <si>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</si>
  <si>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</si>
  <si>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</si>
  <si>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</si>
  <si>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</si>
  <si>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</si>
  <si>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</si>
  <si>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</si>
  <si>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</si>
  <si>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</si>
  <si>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</si>
  <si>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</si>
  <si>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</si>
  <si>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</si>
  <si>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</si>
  <si>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</si>
  <si>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</si>
  <si>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</si>
  <si>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</si>
  <si>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</si>
  <si>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</si>
  <si>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</si>
  <si>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</si>
  <si>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</si>
  <si>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</si>
  <si>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</si>
  <si>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</si>
  <si>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</si>
  <si>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</si>
  <si>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</si>
  <si>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</si>
  <si>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</si>
  <si>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</si>
  <si>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</si>
  <si>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</si>
  <si>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</si>
  <si>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</si>
  <si>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</si>
  <si>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</si>
  <si>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</si>
  <si>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</si>
  <si>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</si>
  <si>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</si>
  <si>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</si>
  <si>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</si>
  <si>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</si>
  <si>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</si>
  <si>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</si>
  <si>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</si>
  <si>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</si>
  <si>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</si>
  <si>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</si>
  <si>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</si>
  <si>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</si>
  <si>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</si>
  <si>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</si>
  <si>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</si>
  <si>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</si>
  <si>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</si>
  <si>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</si>
  <si>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</si>
  <si>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</si>
  <si>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</si>
  <si>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</si>
  <si>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</si>
  <si>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</si>
  <si>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</si>
  <si>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</si>
  <si>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</si>
  <si>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</si>
  <si>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</si>
  <si>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</si>
  <si>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</si>
  <si>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</si>
  <si>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</si>
  <si>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</si>
  <si>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</si>
  <si>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</si>
  <si>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</si>
  <si>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</si>
  <si>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</si>
  <si>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</si>
  <si>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</si>
  <si>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</si>
  <si>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</si>
  <si>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</si>
  <si>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</si>
  <si>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</si>
  <si>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</si>
  <si>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</si>
  <si>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Challenge for you…</t>
  </si>
  <si>
    <t>Permanent headcount</t>
  </si>
  <si>
    <t>who joined in 2020 or after…</t>
  </si>
  <si>
    <t>All depts in one cell, comma seperated</t>
  </si>
  <si>
    <t>Find all employees with 120,000 salary</t>
  </si>
  <si>
    <t>Female employees with Monday start</t>
  </si>
  <si>
    <t>Calculate Median Salary and Female Ratio</t>
  </si>
  <si>
    <t>Headcount</t>
  </si>
  <si>
    <t>Total Salary</t>
  </si>
  <si>
    <t>Head Count</t>
  </si>
  <si>
    <t xml:space="preserve">Below all the data has been accessed from previous staff table </t>
  </si>
  <si>
    <t xml:space="preserve">Here all the data has been taken from side table </t>
  </si>
  <si>
    <t>Average Salary</t>
  </si>
  <si>
    <t>Permanent Head Count</t>
  </si>
  <si>
    <t>Employee Type</t>
  </si>
  <si>
    <t>Average</t>
  </si>
  <si>
    <t>Work Type Head Count</t>
  </si>
  <si>
    <t>Employee Work Type</t>
  </si>
  <si>
    <t xml:space="preserve">This Table is came from side table using filter formula </t>
  </si>
  <si>
    <t>All Employee With &gt;100K Salary</t>
  </si>
  <si>
    <t>Want only subset data col - 1, 2, 3, 5, 6</t>
  </si>
  <si>
    <t>First we use filter form. Then use choose form</t>
  </si>
  <si>
    <t>write value to see the data</t>
  </si>
  <si>
    <t xml:space="preserve">Start Date </t>
  </si>
  <si>
    <t>In The below table all female  who have &gt; Than 100K Salary</t>
  </si>
  <si>
    <t>In the below table all the female who have &gt; 100k salary and joining date after 2020</t>
  </si>
  <si>
    <t>Only Female Employee Such as greater than 100k salary but we have only req. cloumn - Emp Id to Salary and do not use CHOOSECOLM func.</t>
  </si>
  <si>
    <t xml:space="preserve">Lowest, Highest and top 5 salary values </t>
  </si>
  <si>
    <t>Lowest Salary</t>
  </si>
  <si>
    <t>Highest Salary</t>
  </si>
  <si>
    <t>Top 5 Salaries</t>
  </si>
  <si>
    <t>All Emps</t>
  </si>
  <si>
    <t>With Sort + Take</t>
  </si>
  <si>
    <t>Top 10 Salaries</t>
  </si>
  <si>
    <t>Large &amp; Filter</t>
  </si>
  <si>
    <t>Take + Sort</t>
  </si>
  <si>
    <t>finding top 10 salaries</t>
  </si>
  <si>
    <t>using minifs form</t>
  </si>
  <si>
    <t>No.s</t>
  </si>
  <si>
    <t>No. Of Emp</t>
  </si>
  <si>
    <t>count</t>
  </si>
  <si>
    <t>Business Growth</t>
  </si>
  <si>
    <t>All Deparment in cell with comma seprated</t>
  </si>
  <si>
    <t>UNIQUE, COUNTA, #, TEXTJOIN</t>
  </si>
  <si>
    <t>Through textjoin form.</t>
  </si>
  <si>
    <t>Employee Lookup</t>
  </si>
  <si>
    <t>Employee ID</t>
  </si>
  <si>
    <t>This table works from staff table</t>
  </si>
  <si>
    <t xml:space="preserve">VLOOKUP </t>
  </si>
  <si>
    <t>This works from side table</t>
  </si>
  <si>
    <t>Using Index and Match Formula</t>
  </si>
  <si>
    <t>match</t>
  </si>
  <si>
    <t>first name</t>
  </si>
  <si>
    <t>Using VLOOKUP</t>
  </si>
  <si>
    <t>USING XLOOKUP</t>
  </si>
  <si>
    <t>XLOOKUP</t>
  </si>
  <si>
    <t>Vlookup only return first match so we have to use filter form.</t>
  </si>
  <si>
    <t>using iferror filter function</t>
  </si>
  <si>
    <t>One Person</t>
  </si>
  <si>
    <t>All Persons</t>
  </si>
  <si>
    <t>using xlokup and Max form</t>
  </si>
  <si>
    <t>using TEXTJOIN, FILTER AND MAX form.</t>
  </si>
  <si>
    <t xml:space="preserve">Employees who joined on march </t>
  </si>
  <si>
    <t>All Female Employess who started on Monday</t>
  </si>
  <si>
    <t>checked here</t>
  </si>
  <si>
    <t>All Emp whose names start from L</t>
  </si>
  <si>
    <t>All Employees who have started from march</t>
  </si>
  <si>
    <t>Employee who join on Monday</t>
  </si>
  <si>
    <t xml:space="preserve">Joining Day </t>
  </si>
  <si>
    <t xml:space="preserve">Complex formula: Department report of headcounts, salaries and % diff from overall average </t>
  </si>
  <si>
    <t>All Departments</t>
  </si>
  <si>
    <t>HeadCount</t>
  </si>
  <si>
    <t>Avg. Salary</t>
  </si>
  <si>
    <t>% diff from overall avg.</t>
  </si>
  <si>
    <t>Female Ratio</t>
  </si>
  <si>
    <t xml:space="preserve">Median Salary </t>
  </si>
  <si>
    <t>female ratio</t>
  </si>
  <si>
    <t>Gender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</si>
</sst>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[$-14009]dd/mm/yyyy;@"/>
    <numFmt numFmtId="168" formatCode="[$-F800]dddd\,\ mmmm\ dd\,\ yyyy"/>
    <numFmt numFmtId="175" formatCode="[$$-409]#,##0.00_ ;\-[$$-409]#,##0.00\ "/>
  </numFmts>
  <fonts count="1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6" borderId="0" xfId="0" applyFill="1"/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166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/>
    <xf numFmtId="14" fontId="0" fillId="0" borderId="0" xfId="0" applyNumberFormat="1"/>
    <xf numFmtId="165" fontId="0" fillId="6" borderId="0" xfId="1" applyNumberFormat="1" applyFont="1" applyFill="1" applyAlignment="1">
      <alignment horizontal="center" vertical="center"/>
    </xf>
    <xf numFmtId="165" fontId="0" fillId="6" borderId="0" xfId="0" applyNumberFormat="1" applyFill="1"/>
    <xf numFmtId="167" fontId="0" fillId="6" borderId="0" xfId="0" applyNumberFormat="1" applyFill="1"/>
    <xf numFmtId="167" fontId="0" fillId="0" borderId="0" xfId="0" applyNumberFormat="1"/>
    <xf numFmtId="167" fontId="0" fillId="0" borderId="0" xfId="1" applyNumberFormat="1" applyFont="1"/>
    <xf numFmtId="167" fontId="0" fillId="6" borderId="0" xfId="1" applyNumberFormat="1" applyFont="1" applyFill="1"/>
    <xf numFmtId="14" fontId="0" fillId="6" borderId="0" xfId="0" applyNumberFormat="1" applyFill="1"/>
    <xf numFmtId="165" fontId="0" fillId="6" borderId="5" xfId="0" applyNumberFormat="1" applyFill="1" applyBorder="1" applyAlignment="1">
      <alignment horizontal="center" vertical="center"/>
    </xf>
    <xf numFmtId="165" fontId="0" fillId="0" borderId="5" xfId="0" applyNumberFormat="1" applyBorder="1"/>
    <xf numFmtId="165" fontId="0" fillId="6" borderId="0" xfId="0" applyNumberFormat="1" applyFill="1" applyAlignment="1">
      <alignment horizontal="center" vertical="center"/>
    </xf>
    <xf numFmtId="0" fontId="9" fillId="0" borderId="0" xfId="0" applyFont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5" fontId="2" fillId="6" borderId="0" xfId="0" applyNumberFormat="1" applyFont="1" applyFill="1"/>
    <xf numFmtId="165" fontId="0" fillId="0" borderId="0" xfId="1" applyNumberFormat="1" applyFont="1"/>
    <xf numFmtId="165" fontId="0" fillId="6" borderId="6" xfId="0" applyNumberFormat="1" applyFill="1" applyBorder="1" applyAlignment="1">
      <alignment horizontal="center" vertical="center"/>
    </xf>
    <xf numFmtId="0" fontId="0" fillId="0" borderId="5" xfId="0" applyBorder="1"/>
    <xf numFmtId="0" fontId="0" fillId="6" borderId="0" xfId="0" applyFill="1" applyAlignment="1">
      <alignment horizontal="center"/>
    </xf>
    <xf numFmtId="168" fontId="0" fillId="0" borderId="0" xfId="0" applyNumberFormat="1"/>
    <xf numFmtId="0" fontId="2" fillId="6" borderId="2" xfId="0" applyFont="1" applyFill="1" applyBorder="1" applyAlignment="1">
      <alignment vertical="center"/>
    </xf>
    <xf numFmtId="0" fontId="2" fillId="8" borderId="0" xfId="0" applyFont="1" applyFill="1"/>
    <xf numFmtId="0" fontId="11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166" fontId="0" fillId="10" borderId="0" xfId="0" applyNumberFormat="1" applyFill="1" applyAlignment="1">
      <alignment horizontal="center" vertical="center"/>
    </xf>
    <xf numFmtId="166" fontId="0" fillId="10" borderId="0" xfId="0" applyNumberFormat="1" applyFill="1" applyAlignment="1">
      <alignment horizontal="center"/>
    </xf>
    <xf numFmtId="166" fontId="0" fillId="0" borderId="5" xfId="0" applyNumberFormat="1" applyBorder="1"/>
    <xf numFmtId="175" fontId="12" fillId="0" borderId="5" xfId="0" applyNumberFormat="1" applyFont="1" applyBorder="1"/>
    <xf numFmtId="166" fontId="0" fillId="0" borderId="8" xfId="0" applyNumberFormat="1" applyBorder="1"/>
    <xf numFmtId="0" fontId="0" fillId="11" borderId="5" xfId="0" applyFill="1" applyBorder="1" applyAlignment="1">
      <alignment horizontal="center"/>
    </xf>
    <xf numFmtId="9" fontId="0" fillId="0" borderId="0" xfId="2" applyFont="1"/>
    <xf numFmtId="10" fontId="0" fillId="0" borderId="0" xfId="2" applyNumberFormat="1" applyFont="1"/>
    <xf numFmtId="2" fontId="0" fillId="0" borderId="5" xfId="0" applyNumberFormat="1" applyBorder="1"/>
    <xf numFmtId="1" fontId="0" fillId="0" borderId="0" xfId="0" applyNumberFormat="1"/>
    <xf numFmtId="10" fontId="0" fillId="10" borderId="0" xfId="0" applyNumberForma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169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133349</xdr:colOff>
      <xdr:row>1</xdr:row>
      <xdr:rowOff>190500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3"/>
    <tableColumn id="7" xr3:uid="{6FB76E53-662C-42FB-B574-9493672B96B4}" name="Salary Bucket"/>
    <tableColumn id="8" xr3:uid="{B5C7CFDA-8B73-433B-9824-947691E010EE}" name="Start Date" dataDxfId="2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1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sheetPr>
    <tabColor theme="1" tint="0.249977111117893"/>
  </sheetPr>
  <dimension ref="A1:N265"/>
  <sheetViews>
    <sheetView showGridLines="0" topLeftCell="A7" zoomScaleNormal="145" workbookViewId="0">
      <selection activeCell="C15" sqref="C15:G15"/>
    </sheetView>
  </sheetViews>
  <sheetFormatPr defaultRowHeight="15" x14ac:dyDescent="0.2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6.14062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 x14ac:dyDescent="0.25">
      <c r="A1" s="1"/>
      <c r="C1" s="3" t="s">
        <v>739</v>
      </c>
    </row>
    <row r="5" spans="1:14" ht="21" customHeight="1" x14ac:dyDescent="0.25">
      <c r="C5" s="16"/>
      <c r="D5" s="17" t="s">
        <v>758</v>
      </c>
      <c r="E5" s="16"/>
      <c r="F5" s="17" t="s">
        <v>759</v>
      </c>
      <c r="G5" s="17" t="s">
        <v>761</v>
      </c>
    </row>
    <row r="6" spans="1:14" ht="21" customHeight="1" x14ac:dyDescent="0.25">
      <c r="C6" s="10">
        <v>1</v>
      </c>
      <c r="D6" s="11" t="s">
        <v>740</v>
      </c>
      <c r="E6" s="11"/>
      <c r="F6" s="14" t="s">
        <v>741</v>
      </c>
      <c r="G6" s="11" t="s">
        <v>762</v>
      </c>
      <c r="H6" s="5"/>
      <c r="J6" s="6"/>
      <c r="N6" s="4"/>
    </row>
    <row r="7" spans="1:14" ht="21" customHeight="1" x14ac:dyDescent="0.2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25">
      <c r="C8" s="12">
        <v>3</v>
      </c>
      <c r="D8" s="13" t="s">
        <v>744</v>
      </c>
      <c r="E8" s="13"/>
      <c r="F8" s="15" t="s">
        <v>745</v>
      </c>
      <c r="G8" s="13" t="s">
        <v>763</v>
      </c>
      <c r="H8" s="5"/>
      <c r="J8" s="6"/>
      <c r="N8" s="4"/>
    </row>
    <row r="9" spans="1:14" ht="21" customHeight="1" x14ac:dyDescent="0.2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25">
      <c r="C10" s="12">
        <v>5</v>
      </c>
      <c r="D10" s="13" t="s">
        <v>748</v>
      </c>
      <c r="E10" s="13"/>
      <c r="F10" s="15" t="s">
        <v>751</v>
      </c>
      <c r="G10" s="25" t="s">
        <v>764</v>
      </c>
      <c r="H10" s="5"/>
      <c r="J10" s="6"/>
      <c r="N10" s="4"/>
    </row>
    <row r="11" spans="1:14" ht="21" customHeight="1" x14ac:dyDescent="0.2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25">
      <c r="C12" s="12">
        <v>7</v>
      </c>
      <c r="D12" s="13" t="s">
        <v>749</v>
      </c>
      <c r="E12" s="13"/>
      <c r="F12" s="15" t="s">
        <v>760</v>
      </c>
      <c r="G12" s="25" t="s">
        <v>765</v>
      </c>
      <c r="H12" s="5"/>
      <c r="J12" s="6"/>
      <c r="N12" s="4"/>
    </row>
    <row r="13" spans="1:14" ht="21" customHeight="1" x14ac:dyDescent="0.2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25">
      <c r="C14" s="18">
        <v>9</v>
      </c>
      <c r="D14" s="19" t="s">
        <v>754</v>
      </c>
      <c r="E14" s="19"/>
      <c r="F14" s="20" t="s">
        <v>755</v>
      </c>
      <c r="G14" s="19" t="s">
        <v>766</v>
      </c>
      <c r="H14" s="5"/>
      <c r="J14" s="6"/>
      <c r="N14" s="4"/>
    </row>
    <row r="15" spans="1:14" ht="45" x14ac:dyDescent="0.25">
      <c r="C15" s="21">
        <v>10</v>
      </c>
      <c r="D15" s="22" t="s">
        <v>756</v>
      </c>
      <c r="E15" s="23"/>
      <c r="F15" s="24" t="s">
        <v>757</v>
      </c>
      <c r="G15" s="22" t="s">
        <v>767</v>
      </c>
      <c r="H15" s="5"/>
      <c r="J15" s="6"/>
      <c r="N15" s="4"/>
    </row>
    <row r="16" spans="1:14" x14ac:dyDescent="0.25">
      <c r="H16" s="5"/>
      <c r="J16" s="6"/>
      <c r="N16" s="4"/>
    </row>
    <row r="17" spans="8:14" x14ac:dyDescent="0.25">
      <c r="H17" s="5"/>
      <c r="J17" s="6"/>
      <c r="N17" s="4"/>
    </row>
    <row r="18" spans="8:14" x14ac:dyDescent="0.25">
      <c r="H18" s="5"/>
      <c r="J18" s="6"/>
      <c r="N18" s="4"/>
    </row>
    <row r="19" spans="8:14" x14ac:dyDescent="0.25">
      <c r="H19" s="5"/>
      <c r="J19" s="6"/>
      <c r="N19" s="4"/>
    </row>
    <row r="20" spans="8:14" x14ac:dyDescent="0.25">
      <c r="H20" s="5"/>
      <c r="J20" s="6"/>
      <c r="N20" s="4"/>
    </row>
    <row r="21" spans="8:14" x14ac:dyDescent="0.25">
      <c r="H21" s="5"/>
      <c r="J21" s="6"/>
      <c r="N21" s="4"/>
    </row>
    <row r="22" spans="8:14" x14ac:dyDescent="0.25">
      <c r="H22" s="5"/>
      <c r="J22" s="6"/>
      <c r="N22" s="4"/>
    </row>
    <row r="23" spans="8:14" x14ac:dyDescent="0.25">
      <c r="H23" s="5"/>
      <c r="J23" s="6"/>
      <c r="N23" s="4"/>
    </row>
    <row r="24" spans="8:14" x14ac:dyDescent="0.25">
      <c r="H24" s="5"/>
      <c r="J24" s="6"/>
      <c r="N24" s="4"/>
    </row>
    <row r="25" spans="8:14" x14ac:dyDescent="0.25">
      <c r="H25" s="5"/>
      <c r="J25" s="6"/>
      <c r="N25" s="4"/>
    </row>
    <row r="26" spans="8:14" x14ac:dyDescent="0.25">
      <c r="H26" s="5"/>
      <c r="J26" s="6"/>
      <c r="N26" s="4"/>
    </row>
    <row r="27" spans="8:14" x14ac:dyDescent="0.25">
      <c r="H27" s="5"/>
      <c r="J27" s="6"/>
      <c r="N27" s="4"/>
    </row>
    <row r="28" spans="8:14" x14ac:dyDescent="0.25">
      <c r="H28" s="5"/>
      <c r="J28" s="6"/>
      <c r="N28" s="4"/>
    </row>
    <row r="29" spans="8:14" x14ac:dyDescent="0.25">
      <c r="H29" s="5"/>
      <c r="J29" s="6"/>
      <c r="N29" s="4"/>
    </row>
    <row r="30" spans="8:14" x14ac:dyDescent="0.25">
      <c r="H30" s="5"/>
      <c r="J30" s="6"/>
      <c r="N30" s="4"/>
    </row>
    <row r="31" spans="8:14" x14ac:dyDescent="0.25">
      <c r="H31" s="5"/>
      <c r="J31" s="6"/>
      <c r="N31" s="4"/>
    </row>
    <row r="32" spans="8:14" x14ac:dyDescent="0.25">
      <c r="H32" s="5"/>
      <c r="J32" s="6"/>
      <c r="N32" s="4"/>
    </row>
    <row r="33" spans="8:14" x14ac:dyDescent="0.25">
      <c r="H33" s="5"/>
      <c r="J33" s="6"/>
      <c r="N33" s="4"/>
    </row>
    <row r="34" spans="8:14" x14ac:dyDescent="0.25">
      <c r="H34" s="5"/>
      <c r="J34" s="6"/>
      <c r="N34" s="4"/>
    </row>
    <row r="35" spans="8:14" x14ac:dyDescent="0.25">
      <c r="H35" s="5"/>
      <c r="J35" s="6"/>
      <c r="N35" s="4"/>
    </row>
    <row r="36" spans="8:14" x14ac:dyDescent="0.25">
      <c r="H36" s="5"/>
      <c r="J36" s="6"/>
      <c r="N36" s="4"/>
    </row>
    <row r="37" spans="8:14" x14ac:dyDescent="0.25">
      <c r="H37" s="5"/>
      <c r="J37" s="6"/>
      <c r="N37" s="4"/>
    </row>
    <row r="38" spans="8:14" x14ac:dyDescent="0.25">
      <c r="H38" s="5"/>
      <c r="J38" s="6"/>
      <c r="N38" s="4"/>
    </row>
    <row r="39" spans="8:14" x14ac:dyDescent="0.25">
      <c r="H39" s="5"/>
      <c r="J39" s="6"/>
      <c r="N39" s="4"/>
    </row>
    <row r="40" spans="8:14" x14ac:dyDescent="0.25">
      <c r="H40" s="5"/>
      <c r="J40" s="6"/>
      <c r="N40" s="4"/>
    </row>
    <row r="41" spans="8:14" x14ac:dyDescent="0.25">
      <c r="H41" s="5"/>
      <c r="J41" s="6"/>
      <c r="N41" s="4"/>
    </row>
    <row r="42" spans="8:14" x14ac:dyDescent="0.25">
      <c r="H42" s="5"/>
      <c r="J42" s="6"/>
      <c r="N42" s="4"/>
    </row>
    <row r="43" spans="8:14" x14ac:dyDescent="0.25">
      <c r="H43" s="5"/>
      <c r="J43" s="6"/>
      <c r="N43" s="4"/>
    </row>
    <row r="44" spans="8:14" x14ac:dyDescent="0.25">
      <c r="H44" s="5"/>
      <c r="J44" s="6"/>
      <c r="N44" s="4"/>
    </row>
    <row r="45" spans="8:14" x14ac:dyDescent="0.25">
      <c r="H45" s="5"/>
      <c r="J45" s="6"/>
      <c r="N45" s="4"/>
    </row>
    <row r="46" spans="8:14" x14ac:dyDescent="0.25">
      <c r="H46" s="5"/>
      <c r="J46" s="6"/>
      <c r="N46" s="4"/>
    </row>
    <row r="47" spans="8:14" x14ac:dyDescent="0.25">
      <c r="H47" s="5"/>
      <c r="J47" s="6"/>
      <c r="N47" s="4"/>
    </row>
    <row r="48" spans="8:14" x14ac:dyDescent="0.25">
      <c r="H48" s="5"/>
      <c r="J48" s="6"/>
      <c r="N48" s="4"/>
    </row>
    <row r="49" spans="8:14" x14ac:dyDescent="0.25">
      <c r="H49" s="5"/>
      <c r="J49" s="6"/>
      <c r="N49" s="4"/>
    </row>
    <row r="50" spans="8:14" x14ac:dyDescent="0.25">
      <c r="H50" s="5"/>
      <c r="J50" s="6"/>
      <c r="N50" s="4"/>
    </row>
    <row r="51" spans="8:14" x14ac:dyDescent="0.25">
      <c r="H51" s="5"/>
      <c r="J51" s="6"/>
      <c r="N51" s="4"/>
    </row>
    <row r="52" spans="8:14" x14ac:dyDescent="0.25">
      <c r="H52" s="5"/>
      <c r="J52" s="6"/>
      <c r="N52" s="4"/>
    </row>
    <row r="53" spans="8:14" x14ac:dyDescent="0.25">
      <c r="H53" s="5"/>
      <c r="J53" s="6"/>
      <c r="N53" s="4"/>
    </row>
    <row r="54" spans="8:14" x14ac:dyDescent="0.25">
      <c r="H54" s="5"/>
      <c r="J54" s="6"/>
      <c r="N54" s="4"/>
    </row>
    <row r="55" spans="8:14" x14ac:dyDescent="0.25">
      <c r="H55" s="5"/>
      <c r="J55" s="6"/>
      <c r="N55" s="4"/>
    </row>
    <row r="56" spans="8:14" x14ac:dyDescent="0.25">
      <c r="H56" s="5"/>
      <c r="J56" s="6"/>
      <c r="N56" s="4"/>
    </row>
    <row r="57" spans="8:14" x14ac:dyDescent="0.25">
      <c r="H57" s="5"/>
      <c r="J57" s="6"/>
      <c r="N57" s="4"/>
    </row>
    <row r="58" spans="8:14" x14ac:dyDescent="0.25">
      <c r="H58" s="5"/>
      <c r="J58" s="6"/>
      <c r="N58" s="4"/>
    </row>
    <row r="59" spans="8:14" x14ac:dyDescent="0.25">
      <c r="H59" s="5"/>
      <c r="J59" s="6"/>
      <c r="N59" s="4"/>
    </row>
    <row r="60" spans="8:14" x14ac:dyDescent="0.25">
      <c r="H60" s="5"/>
      <c r="J60" s="6"/>
      <c r="N60" s="4"/>
    </row>
    <row r="61" spans="8:14" x14ac:dyDescent="0.25">
      <c r="H61" s="5"/>
      <c r="J61" s="6"/>
      <c r="N61" s="4"/>
    </row>
    <row r="62" spans="8:14" x14ac:dyDescent="0.25">
      <c r="H62" s="5"/>
      <c r="J62" s="6"/>
      <c r="N62" s="4"/>
    </row>
    <row r="63" spans="8:14" x14ac:dyDescent="0.25">
      <c r="H63" s="5"/>
      <c r="J63" s="6"/>
      <c r="N63" s="4"/>
    </row>
    <row r="64" spans="8:14" x14ac:dyDescent="0.25">
      <c r="H64" s="5"/>
      <c r="J64" s="6"/>
      <c r="N64" s="4"/>
    </row>
    <row r="65" spans="8:14" x14ac:dyDescent="0.25">
      <c r="H65" s="5"/>
      <c r="J65" s="6"/>
      <c r="N65" s="4"/>
    </row>
    <row r="66" spans="8:14" x14ac:dyDescent="0.25">
      <c r="H66" s="5"/>
      <c r="J66" s="6"/>
      <c r="N66" s="4"/>
    </row>
    <row r="67" spans="8:14" x14ac:dyDescent="0.25">
      <c r="H67" s="5"/>
      <c r="J67" s="6"/>
      <c r="N67" s="4"/>
    </row>
    <row r="68" spans="8:14" x14ac:dyDescent="0.25">
      <c r="H68" s="5"/>
      <c r="J68" s="6"/>
      <c r="N68" s="4"/>
    </row>
    <row r="69" spans="8:14" x14ac:dyDescent="0.25">
      <c r="H69" s="5"/>
      <c r="J69" s="6"/>
      <c r="N69" s="4"/>
    </row>
    <row r="70" spans="8:14" x14ac:dyDescent="0.25">
      <c r="H70" s="5"/>
      <c r="J70" s="6"/>
      <c r="N70" s="4"/>
    </row>
    <row r="71" spans="8:14" x14ac:dyDescent="0.25">
      <c r="H71" s="5"/>
      <c r="J71" s="6"/>
      <c r="N71" s="4"/>
    </row>
    <row r="72" spans="8:14" x14ac:dyDescent="0.25">
      <c r="H72" s="5"/>
      <c r="J72" s="6"/>
      <c r="N72" s="4"/>
    </row>
    <row r="73" spans="8:14" x14ac:dyDescent="0.25">
      <c r="H73" s="5"/>
      <c r="J73" s="6"/>
      <c r="N73" s="4"/>
    </row>
    <row r="74" spans="8:14" x14ac:dyDescent="0.25">
      <c r="H74" s="5"/>
      <c r="J74" s="6"/>
      <c r="N74" s="4"/>
    </row>
    <row r="75" spans="8:14" x14ac:dyDescent="0.25">
      <c r="H75" s="5"/>
      <c r="J75" s="6"/>
      <c r="N75" s="4"/>
    </row>
    <row r="76" spans="8:14" x14ac:dyDescent="0.25">
      <c r="H76" s="5"/>
      <c r="J76" s="6"/>
      <c r="N76" s="4"/>
    </row>
    <row r="77" spans="8:14" x14ac:dyDescent="0.25">
      <c r="H77" s="5"/>
      <c r="J77" s="6"/>
      <c r="N77" s="4"/>
    </row>
    <row r="78" spans="8:14" x14ac:dyDescent="0.25">
      <c r="H78" s="5"/>
      <c r="J78" s="6"/>
      <c r="N78" s="4"/>
    </row>
    <row r="79" spans="8:14" x14ac:dyDescent="0.25">
      <c r="H79" s="5"/>
      <c r="J79" s="6"/>
      <c r="N79" s="4"/>
    </row>
    <row r="80" spans="8:14" x14ac:dyDescent="0.25">
      <c r="H80" s="5"/>
      <c r="J80" s="6"/>
      <c r="N80" s="4"/>
    </row>
    <row r="81" spans="8:14" x14ac:dyDescent="0.25">
      <c r="H81" s="5"/>
      <c r="J81" s="6"/>
      <c r="N81" s="4"/>
    </row>
    <row r="82" spans="8:14" x14ac:dyDescent="0.25">
      <c r="H82" s="5"/>
      <c r="J82" s="6"/>
      <c r="N82" s="4"/>
    </row>
    <row r="83" spans="8:14" x14ac:dyDescent="0.25">
      <c r="H83" s="5"/>
      <c r="J83" s="6"/>
      <c r="N83" s="4"/>
    </row>
    <row r="84" spans="8:14" x14ac:dyDescent="0.25">
      <c r="H84" s="5"/>
      <c r="J84" s="6"/>
      <c r="N84" s="4"/>
    </row>
    <row r="85" spans="8:14" x14ac:dyDescent="0.25">
      <c r="H85" s="5"/>
      <c r="J85" s="6"/>
      <c r="N85" s="4"/>
    </row>
    <row r="86" spans="8:14" x14ac:dyDescent="0.25">
      <c r="H86" s="5"/>
      <c r="J86" s="6"/>
      <c r="N86" s="4"/>
    </row>
    <row r="87" spans="8:14" x14ac:dyDescent="0.25">
      <c r="H87" s="5"/>
      <c r="J87" s="6"/>
      <c r="N87" s="4"/>
    </row>
    <row r="88" spans="8:14" x14ac:dyDescent="0.25">
      <c r="H88" s="5"/>
      <c r="J88" s="6"/>
      <c r="N88" s="4"/>
    </row>
    <row r="89" spans="8:14" x14ac:dyDescent="0.25">
      <c r="H89" s="5"/>
      <c r="J89" s="6"/>
      <c r="N89" s="4"/>
    </row>
    <row r="90" spans="8:14" x14ac:dyDescent="0.25">
      <c r="H90" s="5"/>
      <c r="J90" s="6"/>
      <c r="N90" s="4"/>
    </row>
    <row r="91" spans="8:14" x14ac:dyDescent="0.25">
      <c r="H91" s="5"/>
      <c r="J91" s="6"/>
      <c r="N91" s="4"/>
    </row>
    <row r="92" spans="8:14" x14ac:dyDescent="0.25">
      <c r="H92" s="5"/>
      <c r="J92" s="6"/>
      <c r="N92" s="4"/>
    </row>
    <row r="93" spans="8:14" x14ac:dyDescent="0.25">
      <c r="H93" s="5"/>
      <c r="J93" s="6"/>
      <c r="N93" s="4"/>
    </row>
    <row r="94" spans="8:14" x14ac:dyDescent="0.25">
      <c r="H94" s="5"/>
      <c r="J94" s="6"/>
      <c r="N94" s="4"/>
    </row>
    <row r="95" spans="8:14" x14ac:dyDescent="0.25">
      <c r="H95" s="5"/>
      <c r="J95" s="6"/>
      <c r="N95" s="4"/>
    </row>
    <row r="96" spans="8:14" x14ac:dyDescent="0.25">
      <c r="H96" s="5"/>
      <c r="J96" s="6"/>
      <c r="N96" s="4"/>
    </row>
    <row r="97" spans="8:14" x14ac:dyDescent="0.25">
      <c r="H97" s="5"/>
      <c r="J97" s="6"/>
      <c r="N97" s="4"/>
    </row>
    <row r="98" spans="8:14" x14ac:dyDescent="0.25">
      <c r="H98" s="5"/>
      <c r="J98" s="6"/>
      <c r="N98" s="4"/>
    </row>
    <row r="99" spans="8:14" x14ac:dyDescent="0.25">
      <c r="H99" s="5"/>
      <c r="J99" s="6"/>
      <c r="N99" s="4"/>
    </row>
    <row r="100" spans="8:14" x14ac:dyDescent="0.25">
      <c r="H100" s="5"/>
      <c r="J100" s="6"/>
      <c r="N100" s="4"/>
    </row>
    <row r="101" spans="8:14" x14ac:dyDescent="0.25">
      <c r="H101" s="5"/>
      <c r="J101" s="6"/>
      <c r="N101" s="4"/>
    </row>
    <row r="102" spans="8:14" x14ac:dyDescent="0.25">
      <c r="H102" s="5"/>
      <c r="J102" s="6"/>
      <c r="N102" s="4"/>
    </row>
    <row r="103" spans="8:14" x14ac:dyDescent="0.25">
      <c r="H103" s="5"/>
      <c r="J103" s="6"/>
      <c r="N103" s="4"/>
    </row>
    <row r="104" spans="8:14" x14ac:dyDescent="0.25">
      <c r="H104" s="5"/>
      <c r="J104" s="6"/>
      <c r="N104" s="4"/>
    </row>
    <row r="105" spans="8:14" x14ac:dyDescent="0.25">
      <c r="H105" s="5"/>
      <c r="J105" s="6"/>
      <c r="N105" s="4"/>
    </row>
    <row r="106" spans="8:14" x14ac:dyDescent="0.25">
      <c r="H106" s="5"/>
      <c r="J106" s="6"/>
      <c r="N106" s="4"/>
    </row>
    <row r="107" spans="8:14" x14ac:dyDescent="0.25">
      <c r="H107" s="5"/>
      <c r="J107" s="6"/>
      <c r="N107" s="4"/>
    </row>
    <row r="108" spans="8:14" x14ac:dyDescent="0.25">
      <c r="H108" s="5"/>
      <c r="J108" s="6"/>
      <c r="N108" s="4"/>
    </row>
    <row r="109" spans="8:14" x14ac:dyDescent="0.25">
      <c r="H109" s="5"/>
      <c r="J109" s="6"/>
      <c r="N109" s="4"/>
    </row>
    <row r="110" spans="8:14" x14ac:dyDescent="0.25">
      <c r="H110" s="5"/>
      <c r="J110" s="6"/>
      <c r="N110" s="4"/>
    </row>
    <row r="111" spans="8:14" x14ac:dyDescent="0.25">
      <c r="H111" s="5"/>
      <c r="J111" s="6"/>
      <c r="N111" s="4"/>
    </row>
    <row r="112" spans="8:14" x14ac:dyDescent="0.25">
      <c r="H112" s="5"/>
      <c r="J112" s="6"/>
      <c r="N112" s="4"/>
    </row>
    <row r="113" spans="8:14" x14ac:dyDescent="0.25">
      <c r="H113" s="5"/>
      <c r="J113" s="6"/>
      <c r="N113" s="4"/>
    </row>
    <row r="114" spans="8:14" x14ac:dyDescent="0.25">
      <c r="H114" s="5"/>
      <c r="J114" s="6"/>
      <c r="N114" s="4"/>
    </row>
    <row r="115" spans="8:14" x14ac:dyDescent="0.25">
      <c r="H115" s="5"/>
      <c r="J115" s="6"/>
      <c r="N115" s="4"/>
    </row>
    <row r="116" spans="8:14" x14ac:dyDescent="0.25">
      <c r="H116" s="5"/>
      <c r="J116" s="6"/>
      <c r="N116" s="4"/>
    </row>
    <row r="117" spans="8:14" x14ac:dyDescent="0.25">
      <c r="H117" s="5"/>
      <c r="J117" s="6"/>
      <c r="N117" s="4"/>
    </row>
    <row r="118" spans="8:14" x14ac:dyDescent="0.25">
      <c r="H118" s="5"/>
      <c r="J118" s="6"/>
      <c r="N118" s="4"/>
    </row>
    <row r="119" spans="8:14" x14ac:dyDescent="0.25">
      <c r="H119" s="5"/>
      <c r="J119" s="6"/>
      <c r="N119" s="4"/>
    </row>
    <row r="120" spans="8:14" x14ac:dyDescent="0.25">
      <c r="H120" s="5"/>
      <c r="J120" s="6"/>
      <c r="N120" s="4"/>
    </row>
    <row r="121" spans="8:14" x14ac:dyDescent="0.25">
      <c r="H121" s="5"/>
      <c r="J121" s="6"/>
      <c r="N121" s="4"/>
    </row>
    <row r="122" spans="8:14" x14ac:dyDescent="0.25">
      <c r="H122" s="5"/>
      <c r="J122" s="6"/>
      <c r="N122" s="4"/>
    </row>
    <row r="123" spans="8:14" x14ac:dyDescent="0.25">
      <c r="H123" s="5"/>
      <c r="J123" s="6"/>
      <c r="N123" s="4"/>
    </row>
    <row r="124" spans="8:14" x14ac:dyDescent="0.25">
      <c r="H124" s="5"/>
      <c r="J124" s="6"/>
      <c r="N124" s="4"/>
    </row>
    <row r="125" spans="8:14" x14ac:dyDescent="0.25">
      <c r="H125" s="5"/>
      <c r="J125" s="6"/>
      <c r="N125" s="4"/>
    </row>
    <row r="126" spans="8:14" x14ac:dyDescent="0.25">
      <c r="H126" s="5"/>
      <c r="J126" s="6"/>
      <c r="N126" s="4"/>
    </row>
    <row r="127" spans="8:14" x14ac:dyDescent="0.25">
      <c r="H127" s="5"/>
      <c r="J127" s="6"/>
      <c r="N127" s="4"/>
    </row>
    <row r="128" spans="8:14" x14ac:dyDescent="0.25">
      <c r="H128" s="5"/>
      <c r="J128" s="6"/>
      <c r="N128" s="4"/>
    </row>
    <row r="129" spans="8:14" x14ac:dyDescent="0.25">
      <c r="H129" s="5"/>
      <c r="J129" s="6"/>
      <c r="N129" s="4"/>
    </row>
    <row r="130" spans="8:14" x14ac:dyDescent="0.25">
      <c r="H130" s="5"/>
      <c r="J130" s="6"/>
      <c r="N130" s="4"/>
    </row>
    <row r="131" spans="8:14" x14ac:dyDescent="0.25">
      <c r="H131" s="5"/>
      <c r="J131" s="6"/>
      <c r="N131" s="4"/>
    </row>
    <row r="132" spans="8:14" x14ac:dyDescent="0.25">
      <c r="H132" s="5"/>
      <c r="J132" s="6"/>
      <c r="N132" s="4"/>
    </row>
    <row r="133" spans="8:14" x14ac:dyDescent="0.25">
      <c r="H133" s="5"/>
      <c r="J133" s="6"/>
      <c r="N133" s="4"/>
    </row>
    <row r="134" spans="8:14" x14ac:dyDescent="0.25">
      <c r="H134" s="5"/>
      <c r="J134" s="6"/>
      <c r="N134" s="4"/>
    </row>
    <row r="135" spans="8:14" x14ac:dyDescent="0.25">
      <c r="H135" s="5"/>
      <c r="J135" s="6"/>
      <c r="N135" s="4"/>
    </row>
    <row r="136" spans="8:14" x14ac:dyDescent="0.25">
      <c r="H136" s="5"/>
      <c r="J136" s="6"/>
      <c r="N136" s="4"/>
    </row>
    <row r="137" spans="8:14" x14ac:dyDescent="0.25">
      <c r="H137" s="5"/>
      <c r="J137" s="6"/>
      <c r="N137" s="4"/>
    </row>
    <row r="138" spans="8:14" x14ac:dyDescent="0.25">
      <c r="H138" s="5"/>
      <c r="J138" s="6"/>
      <c r="N138" s="4"/>
    </row>
    <row r="139" spans="8:14" x14ac:dyDescent="0.25">
      <c r="H139" s="5"/>
      <c r="J139" s="6"/>
      <c r="N139" s="4"/>
    </row>
    <row r="140" spans="8:14" x14ac:dyDescent="0.25">
      <c r="H140" s="5"/>
      <c r="J140" s="6"/>
      <c r="N140" s="4"/>
    </row>
    <row r="141" spans="8:14" x14ac:dyDescent="0.25">
      <c r="H141" s="5"/>
      <c r="J141" s="6"/>
      <c r="N141" s="4"/>
    </row>
    <row r="142" spans="8:14" x14ac:dyDescent="0.25">
      <c r="H142" s="5"/>
      <c r="J142" s="6"/>
      <c r="N142" s="4"/>
    </row>
    <row r="143" spans="8:14" x14ac:dyDescent="0.25">
      <c r="H143" s="5"/>
      <c r="J143" s="6"/>
      <c r="N143" s="4"/>
    </row>
    <row r="144" spans="8:14" x14ac:dyDescent="0.25">
      <c r="H144" s="5"/>
      <c r="J144" s="6"/>
      <c r="N144" s="4"/>
    </row>
    <row r="145" spans="8:14" x14ac:dyDescent="0.25">
      <c r="H145" s="5"/>
      <c r="J145" s="6"/>
      <c r="N145" s="4"/>
    </row>
    <row r="146" spans="8:14" x14ac:dyDescent="0.25">
      <c r="H146" s="5"/>
      <c r="J146" s="6"/>
      <c r="N146" s="4"/>
    </row>
    <row r="147" spans="8:14" x14ac:dyDescent="0.25">
      <c r="H147" s="5"/>
      <c r="J147" s="6"/>
      <c r="N147" s="4"/>
    </row>
    <row r="148" spans="8:14" x14ac:dyDescent="0.25">
      <c r="H148" s="5"/>
      <c r="J148" s="6"/>
      <c r="N148" s="4"/>
    </row>
    <row r="149" spans="8:14" x14ac:dyDescent="0.25">
      <c r="H149" s="5"/>
      <c r="J149" s="6"/>
      <c r="N149" s="4"/>
    </row>
    <row r="150" spans="8:14" x14ac:dyDescent="0.25">
      <c r="H150" s="5"/>
      <c r="J150" s="6"/>
      <c r="N150" s="4"/>
    </row>
    <row r="151" spans="8:14" x14ac:dyDescent="0.25">
      <c r="H151" s="5"/>
      <c r="J151" s="6"/>
      <c r="N151" s="4"/>
    </row>
    <row r="152" spans="8:14" x14ac:dyDescent="0.25">
      <c r="H152" s="5"/>
      <c r="J152" s="6"/>
      <c r="N152" s="4"/>
    </row>
    <row r="153" spans="8:14" x14ac:dyDescent="0.25">
      <c r="H153" s="5"/>
      <c r="J153" s="6"/>
      <c r="N153" s="4"/>
    </row>
    <row r="154" spans="8:14" x14ac:dyDescent="0.25">
      <c r="H154" s="5"/>
      <c r="J154" s="6"/>
      <c r="N154" s="4"/>
    </row>
    <row r="155" spans="8:14" x14ac:dyDescent="0.25">
      <c r="H155" s="5"/>
      <c r="J155" s="6"/>
      <c r="N155" s="4"/>
    </row>
    <row r="156" spans="8:14" x14ac:dyDescent="0.25">
      <c r="H156" s="5"/>
      <c r="J156" s="6"/>
      <c r="N156" s="4"/>
    </row>
    <row r="157" spans="8:14" x14ac:dyDescent="0.25">
      <c r="H157" s="5"/>
      <c r="J157" s="6"/>
      <c r="N157" s="4"/>
    </row>
    <row r="158" spans="8:14" x14ac:dyDescent="0.25">
      <c r="H158" s="5"/>
      <c r="J158" s="6"/>
      <c r="N158" s="4"/>
    </row>
    <row r="159" spans="8:14" x14ac:dyDescent="0.25">
      <c r="H159" s="5"/>
      <c r="J159" s="6"/>
      <c r="N159" s="4"/>
    </row>
    <row r="160" spans="8:14" x14ac:dyDescent="0.25">
      <c r="H160" s="5"/>
      <c r="J160" s="6"/>
      <c r="N160" s="4"/>
    </row>
    <row r="161" spans="8:14" x14ac:dyDescent="0.25">
      <c r="H161" s="5"/>
      <c r="J161" s="6"/>
      <c r="N161" s="4"/>
    </row>
    <row r="162" spans="8:14" x14ac:dyDescent="0.25">
      <c r="H162" s="5"/>
      <c r="J162" s="6"/>
      <c r="N162" s="4"/>
    </row>
    <row r="163" spans="8:14" x14ac:dyDescent="0.25">
      <c r="H163" s="5"/>
      <c r="J163" s="6"/>
      <c r="N163" s="4"/>
    </row>
    <row r="164" spans="8:14" x14ac:dyDescent="0.25">
      <c r="H164" s="5"/>
      <c r="J164" s="6"/>
      <c r="N164" s="4"/>
    </row>
    <row r="165" spans="8:14" x14ac:dyDescent="0.25">
      <c r="H165" s="5"/>
      <c r="J165" s="6"/>
      <c r="N165" s="4"/>
    </row>
    <row r="166" spans="8:14" x14ac:dyDescent="0.25">
      <c r="H166" s="5"/>
      <c r="J166" s="6"/>
      <c r="N166" s="4"/>
    </row>
    <row r="167" spans="8:14" x14ac:dyDescent="0.25">
      <c r="H167" s="5"/>
      <c r="J167" s="6"/>
      <c r="N167" s="4"/>
    </row>
    <row r="168" spans="8:14" x14ac:dyDescent="0.25">
      <c r="H168" s="5"/>
      <c r="J168" s="6"/>
      <c r="N168" s="4"/>
    </row>
    <row r="169" spans="8:14" x14ac:dyDescent="0.25">
      <c r="H169" s="5"/>
      <c r="J169" s="6"/>
      <c r="N169" s="4"/>
    </row>
    <row r="170" spans="8:14" x14ac:dyDescent="0.25">
      <c r="H170" s="5"/>
      <c r="J170" s="6"/>
      <c r="N170" s="4"/>
    </row>
    <row r="171" spans="8:14" x14ac:dyDescent="0.25">
      <c r="H171" s="5"/>
      <c r="J171" s="6"/>
      <c r="N171" s="4"/>
    </row>
    <row r="172" spans="8:14" x14ac:dyDescent="0.25">
      <c r="H172" s="5"/>
      <c r="J172" s="6"/>
      <c r="N172" s="4"/>
    </row>
    <row r="173" spans="8:14" x14ac:dyDescent="0.25">
      <c r="H173" s="5"/>
      <c r="J173" s="6"/>
      <c r="N173" s="4"/>
    </row>
    <row r="174" spans="8:14" x14ac:dyDescent="0.25">
      <c r="H174" s="5"/>
      <c r="J174" s="6"/>
      <c r="N174" s="4"/>
    </row>
    <row r="175" spans="8:14" x14ac:dyDescent="0.25">
      <c r="H175" s="5"/>
      <c r="J175" s="6"/>
      <c r="N175" s="4"/>
    </row>
    <row r="176" spans="8:14" x14ac:dyDescent="0.25">
      <c r="H176" s="5"/>
      <c r="J176" s="6"/>
      <c r="N176" s="4"/>
    </row>
    <row r="177" spans="8:14" x14ac:dyDescent="0.25">
      <c r="H177" s="5"/>
      <c r="J177" s="6"/>
      <c r="N177" s="4"/>
    </row>
    <row r="178" spans="8:14" x14ac:dyDescent="0.25">
      <c r="H178" s="5"/>
      <c r="J178" s="6"/>
      <c r="N178" s="4"/>
    </row>
    <row r="179" spans="8:14" x14ac:dyDescent="0.25">
      <c r="H179" s="5"/>
      <c r="J179" s="6"/>
      <c r="N179" s="4"/>
    </row>
    <row r="180" spans="8:14" x14ac:dyDescent="0.25">
      <c r="H180" s="5"/>
      <c r="J180" s="6"/>
      <c r="N180" s="4"/>
    </row>
    <row r="181" spans="8:14" x14ac:dyDescent="0.25">
      <c r="H181" s="5"/>
      <c r="J181" s="6"/>
      <c r="N181" s="4"/>
    </row>
    <row r="182" spans="8:14" x14ac:dyDescent="0.25">
      <c r="H182" s="5"/>
      <c r="J182" s="6"/>
      <c r="N182" s="4"/>
    </row>
    <row r="183" spans="8:14" x14ac:dyDescent="0.25">
      <c r="H183" s="5"/>
      <c r="J183" s="6"/>
      <c r="N183" s="4"/>
    </row>
    <row r="184" spans="8:14" x14ac:dyDescent="0.25">
      <c r="H184" s="5"/>
      <c r="J184" s="6"/>
      <c r="N184" s="4"/>
    </row>
    <row r="185" spans="8:14" x14ac:dyDescent="0.25">
      <c r="H185" s="5"/>
      <c r="J185" s="6"/>
      <c r="N185" s="4"/>
    </row>
    <row r="186" spans="8:14" x14ac:dyDescent="0.25">
      <c r="H186" s="5"/>
      <c r="J186" s="6"/>
      <c r="N186" s="4"/>
    </row>
    <row r="187" spans="8:14" x14ac:dyDescent="0.25">
      <c r="H187" s="5"/>
      <c r="J187" s="6"/>
      <c r="N187" s="4"/>
    </row>
    <row r="188" spans="8:14" x14ac:dyDescent="0.25">
      <c r="H188" s="5"/>
      <c r="J188" s="6"/>
      <c r="N188" s="4"/>
    </row>
    <row r="189" spans="8:14" x14ac:dyDescent="0.25">
      <c r="H189" s="5"/>
      <c r="J189" s="6"/>
      <c r="N189" s="4"/>
    </row>
    <row r="190" spans="8:14" x14ac:dyDescent="0.25">
      <c r="H190" s="5"/>
      <c r="J190" s="6"/>
      <c r="N190" s="4"/>
    </row>
    <row r="191" spans="8:14" x14ac:dyDescent="0.25">
      <c r="H191" s="5"/>
      <c r="J191" s="6"/>
      <c r="N191" s="4"/>
    </row>
    <row r="192" spans="8:14" x14ac:dyDescent="0.25">
      <c r="H192" s="5"/>
      <c r="J192" s="6"/>
      <c r="N192" s="4"/>
    </row>
    <row r="193" spans="8:14" x14ac:dyDescent="0.25">
      <c r="H193" s="5"/>
      <c r="J193" s="6"/>
      <c r="N193" s="4"/>
    </row>
    <row r="194" spans="8:14" x14ac:dyDescent="0.25">
      <c r="H194" s="5"/>
      <c r="J194" s="6"/>
      <c r="N194" s="4"/>
    </row>
    <row r="195" spans="8:14" x14ac:dyDescent="0.25">
      <c r="H195" s="5"/>
      <c r="J195" s="6"/>
      <c r="N195" s="4"/>
    </row>
    <row r="196" spans="8:14" x14ac:dyDescent="0.25">
      <c r="H196" s="5"/>
      <c r="J196" s="6"/>
      <c r="N196" s="4"/>
    </row>
    <row r="197" spans="8:14" x14ac:dyDescent="0.25">
      <c r="H197" s="5"/>
      <c r="J197" s="6"/>
      <c r="N197" s="4"/>
    </row>
    <row r="198" spans="8:14" x14ac:dyDescent="0.25">
      <c r="H198" s="5"/>
      <c r="J198" s="6"/>
      <c r="N198" s="4"/>
    </row>
    <row r="199" spans="8:14" x14ac:dyDescent="0.25">
      <c r="H199" s="5"/>
      <c r="J199" s="6"/>
      <c r="N199" s="4"/>
    </row>
    <row r="200" spans="8:14" x14ac:dyDescent="0.25">
      <c r="H200" s="5"/>
      <c r="J200" s="6"/>
      <c r="N200" s="4"/>
    </row>
    <row r="201" spans="8:14" x14ac:dyDescent="0.25">
      <c r="H201" s="5"/>
      <c r="J201" s="6"/>
      <c r="N201" s="4"/>
    </row>
    <row r="202" spans="8:14" x14ac:dyDescent="0.25">
      <c r="H202" s="5"/>
      <c r="J202" s="6"/>
      <c r="N202" s="4"/>
    </row>
    <row r="203" spans="8:14" x14ac:dyDescent="0.25">
      <c r="H203" s="5"/>
      <c r="J203" s="6"/>
      <c r="N203" s="4"/>
    </row>
    <row r="204" spans="8:14" x14ac:dyDescent="0.25">
      <c r="H204" s="5"/>
      <c r="J204" s="6"/>
      <c r="N204" s="4"/>
    </row>
    <row r="205" spans="8:14" x14ac:dyDescent="0.25">
      <c r="H205" s="5"/>
      <c r="J205" s="6"/>
      <c r="N205" s="4"/>
    </row>
    <row r="206" spans="8:14" x14ac:dyDescent="0.25">
      <c r="H206" s="5"/>
      <c r="J206" s="6"/>
      <c r="N206" s="4"/>
    </row>
    <row r="207" spans="8:14" x14ac:dyDescent="0.25">
      <c r="H207" s="5"/>
      <c r="J207" s="6"/>
      <c r="N207" s="4"/>
    </row>
    <row r="208" spans="8:14" x14ac:dyDescent="0.25">
      <c r="H208" s="5"/>
      <c r="J208" s="6"/>
      <c r="N208" s="4"/>
    </row>
    <row r="209" spans="8:14" x14ac:dyDescent="0.25">
      <c r="H209" s="5"/>
      <c r="J209" s="6"/>
      <c r="N209" s="4"/>
    </row>
    <row r="210" spans="8:14" x14ac:dyDescent="0.25">
      <c r="H210" s="5"/>
      <c r="J210" s="6"/>
      <c r="N210" s="4"/>
    </row>
    <row r="211" spans="8:14" x14ac:dyDescent="0.25">
      <c r="H211" s="5"/>
      <c r="J211" s="6"/>
      <c r="N211" s="4"/>
    </row>
    <row r="212" spans="8:14" x14ac:dyDescent="0.25">
      <c r="H212" s="5"/>
      <c r="J212" s="6"/>
      <c r="N212" s="4"/>
    </row>
    <row r="213" spans="8:14" x14ac:dyDescent="0.25">
      <c r="H213" s="5"/>
      <c r="J213" s="6"/>
      <c r="N213" s="4"/>
    </row>
    <row r="214" spans="8:14" x14ac:dyDescent="0.25">
      <c r="H214" s="5"/>
      <c r="J214" s="6"/>
      <c r="N214" s="4"/>
    </row>
    <row r="215" spans="8:14" x14ac:dyDescent="0.25">
      <c r="H215" s="5"/>
      <c r="J215" s="6"/>
      <c r="N215" s="4"/>
    </row>
    <row r="216" spans="8:14" x14ac:dyDescent="0.25">
      <c r="H216" s="5"/>
      <c r="J216" s="6"/>
      <c r="N216" s="4"/>
    </row>
    <row r="217" spans="8:14" x14ac:dyDescent="0.25">
      <c r="H217" s="5"/>
      <c r="J217" s="6"/>
      <c r="N217" s="4"/>
    </row>
    <row r="218" spans="8:14" x14ac:dyDescent="0.25">
      <c r="H218" s="5"/>
      <c r="J218" s="6"/>
      <c r="N218" s="4"/>
    </row>
    <row r="219" spans="8:14" x14ac:dyDescent="0.25">
      <c r="H219" s="5"/>
      <c r="J219" s="6"/>
      <c r="N219" s="4"/>
    </row>
    <row r="220" spans="8:14" x14ac:dyDescent="0.25">
      <c r="H220" s="5"/>
      <c r="J220" s="6"/>
      <c r="N220" s="4"/>
    </row>
    <row r="221" spans="8:14" x14ac:dyDescent="0.25">
      <c r="H221" s="5"/>
      <c r="J221" s="6"/>
      <c r="N221" s="4"/>
    </row>
    <row r="222" spans="8:14" x14ac:dyDescent="0.25">
      <c r="H222" s="5"/>
      <c r="J222" s="6"/>
      <c r="N222" s="4"/>
    </row>
    <row r="223" spans="8:14" x14ac:dyDescent="0.25">
      <c r="H223" s="5"/>
      <c r="J223" s="6"/>
      <c r="N223" s="4"/>
    </row>
    <row r="224" spans="8:14" x14ac:dyDescent="0.25">
      <c r="H224" s="5"/>
      <c r="J224" s="6"/>
      <c r="N224" s="4"/>
    </row>
    <row r="225" spans="8:14" x14ac:dyDescent="0.25">
      <c r="H225" s="5"/>
      <c r="J225" s="6"/>
      <c r="N225" s="4"/>
    </row>
    <row r="226" spans="8:14" x14ac:dyDescent="0.25">
      <c r="H226" s="5"/>
      <c r="J226" s="6"/>
      <c r="N226" s="4"/>
    </row>
    <row r="227" spans="8:14" x14ac:dyDescent="0.25">
      <c r="H227" s="5"/>
      <c r="J227" s="6"/>
      <c r="N227" s="4"/>
    </row>
    <row r="228" spans="8:14" x14ac:dyDescent="0.25">
      <c r="H228" s="5"/>
      <c r="J228" s="6"/>
      <c r="N228" s="4"/>
    </row>
    <row r="229" spans="8:14" x14ac:dyDescent="0.25">
      <c r="H229" s="5"/>
      <c r="J229" s="6"/>
      <c r="N229" s="4"/>
    </row>
    <row r="230" spans="8:14" x14ac:dyDescent="0.25">
      <c r="H230" s="5"/>
      <c r="J230" s="6"/>
      <c r="N230" s="4"/>
    </row>
    <row r="231" spans="8:14" x14ac:dyDescent="0.25">
      <c r="H231" s="5"/>
      <c r="J231" s="6"/>
      <c r="N231" s="4"/>
    </row>
    <row r="232" spans="8:14" x14ac:dyDescent="0.25">
      <c r="H232" s="5"/>
      <c r="J232" s="6"/>
      <c r="N232" s="4"/>
    </row>
    <row r="233" spans="8:14" x14ac:dyDescent="0.25">
      <c r="H233" s="5"/>
      <c r="J233" s="6"/>
      <c r="N233" s="4"/>
    </row>
    <row r="234" spans="8:14" x14ac:dyDescent="0.25">
      <c r="H234" s="5"/>
      <c r="J234" s="6"/>
      <c r="N234" s="4"/>
    </row>
    <row r="235" spans="8:14" x14ac:dyDescent="0.25">
      <c r="H235" s="5"/>
      <c r="J235" s="6"/>
      <c r="N235" s="4"/>
    </row>
    <row r="236" spans="8:14" x14ac:dyDescent="0.25">
      <c r="H236" s="5"/>
      <c r="J236" s="6"/>
      <c r="N236" s="4"/>
    </row>
    <row r="237" spans="8:14" x14ac:dyDescent="0.25">
      <c r="H237" s="5"/>
      <c r="J237" s="6"/>
      <c r="N237" s="4"/>
    </row>
    <row r="238" spans="8:14" x14ac:dyDescent="0.25">
      <c r="H238" s="5"/>
      <c r="J238" s="6"/>
      <c r="N238" s="4"/>
    </row>
    <row r="239" spans="8:14" x14ac:dyDescent="0.25">
      <c r="H239" s="5"/>
      <c r="J239" s="6"/>
      <c r="N239" s="4"/>
    </row>
    <row r="240" spans="8:14" x14ac:dyDescent="0.25">
      <c r="H240" s="5"/>
      <c r="J240" s="6"/>
      <c r="N240" s="4"/>
    </row>
    <row r="241" spans="8:14" x14ac:dyDescent="0.25">
      <c r="H241" s="5"/>
      <c r="J241" s="6"/>
      <c r="N241" s="4"/>
    </row>
    <row r="242" spans="8:14" x14ac:dyDescent="0.25">
      <c r="H242" s="5"/>
      <c r="J242" s="6"/>
      <c r="N242" s="4"/>
    </row>
    <row r="243" spans="8:14" x14ac:dyDescent="0.25">
      <c r="H243" s="5"/>
      <c r="J243" s="6"/>
      <c r="N243" s="4"/>
    </row>
    <row r="244" spans="8:14" x14ac:dyDescent="0.25">
      <c r="H244" s="5"/>
      <c r="J244" s="6"/>
      <c r="N244" s="4"/>
    </row>
    <row r="245" spans="8:14" x14ac:dyDescent="0.25">
      <c r="H245" s="5"/>
      <c r="J245" s="6"/>
      <c r="N245" s="4"/>
    </row>
    <row r="246" spans="8:14" x14ac:dyDescent="0.25">
      <c r="H246" s="5"/>
      <c r="J246" s="6"/>
      <c r="N246" s="4"/>
    </row>
    <row r="247" spans="8:14" x14ac:dyDescent="0.25">
      <c r="H247" s="5"/>
      <c r="J247" s="6"/>
      <c r="N247" s="4"/>
    </row>
    <row r="248" spans="8:14" x14ac:dyDescent="0.25">
      <c r="H248" s="5"/>
      <c r="J248" s="6"/>
      <c r="N248" s="4"/>
    </row>
    <row r="249" spans="8:14" x14ac:dyDescent="0.25">
      <c r="H249" s="5"/>
      <c r="J249" s="6"/>
      <c r="N249" s="4"/>
    </row>
    <row r="250" spans="8:14" x14ac:dyDescent="0.25">
      <c r="H250" s="5"/>
      <c r="J250" s="6"/>
      <c r="N250" s="4"/>
    </row>
    <row r="251" spans="8:14" x14ac:dyDescent="0.25">
      <c r="H251" s="5"/>
      <c r="J251" s="6"/>
      <c r="N251" s="4"/>
    </row>
    <row r="252" spans="8:14" x14ac:dyDescent="0.25">
      <c r="H252" s="5"/>
      <c r="J252" s="6"/>
      <c r="N252" s="4"/>
    </row>
    <row r="253" spans="8:14" x14ac:dyDescent="0.25">
      <c r="H253" s="5"/>
      <c r="J253" s="6"/>
      <c r="N253" s="4"/>
    </row>
    <row r="254" spans="8:14" x14ac:dyDescent="0.25">
      <c r="H254" s="5"/>
      <c r="J254" s="6"/>
      <c r="N254" s="4"/>
    </row>
    <row r="255" spans="8:14" x14ac:dyDescent="0.25">
      <c r="H255" s="5"/>
      <c r="J255" s="6"/>
      <c r="N255" s="4"/>
    </row>
    <row r="256" spans="8:14" x14ac:dyDescent="0.25">
      <c r="H256" s="5"/>
      <c r="J256" s="6"/>
      <c r="N256" s="4"/>
    </row>
    <row r="257" spans="8:14" x14ac:dyDescent="0.25">
      <c r="H257" s="5"/>
      <c r="J257" s="6"/>
      <c r="N257" s="4"/>
    </row>
    <row r="258" spans="8:14" x14ac:dyDescent="0.25">
      <c r="H258" s="5"/>
      <c r="J258" s="6"/>
      <c r="N258" s="4"/>
    </row>
    <row r="259" spans="8:14" x14ac:dyDescent="0.25">
      <c r="H259" s="5"/>
      <c r="J259" s="6"/>
      <c r="N259" s="4"/>
    </row>
    <row r="260" spans="8:14" x14ac:dyDescent="0.25">
      <c r="H260" s="5"/>
      <c r="J260" s="6"/>
      <c r="N260" s="4"/>
    </row>
    <row r="261" spans="8:14" x14ac:dyDescent="0.25">
      <c r="H261" s="5"/>
      <c r="J261" s="6"/>
      <c r="N261" s="4"/>
    </row>
    <row r="262" spans="8:14" x14ac:dyDescent="0.25">
      <c r="H262" s="5"/>
      <c r="J262" s="6"/>
      <c r="N262" s="4"/>
    </row>
    <row r="263" spans="8:14" x14ac:dyDescent="0.25">
      <c r="H263" s="5"/>
      <c r="J263" s="6"/>
      <c r="N263" s="4"/>
    </row>
    <row r="264" spans="8:14" x14ac:dyDescent="0.25">
      <c r="H264" s="5"/>
      <c r="J264" s="6"/>
      <c r="N264" s="4"/>
    </row>
    <row r="265" spans="8:14" x14ac:dyDescent="0.25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8" tint="-0.249977111117893"/>
  </sheetPr>
  <dimension ref="A1:O267"/>
  <sheetViews>
    <sheetView showGridLines="0" topLeftCell="A240" zoomScale="74" workbookViewId="0">
      <selection activeCell="C8" sqref="C8:C267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 x14ac:dyDescent="0.25">
      <c r="A1" s="1"/>
      <c r="C1" s="3" t="s">
        <v>739</v>
      </c>
    </row>
    <row r="7" spans="1:15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25">
      <c r="C8" t="s">
        <v>12</v>
      </c>
      <c r="D8" t="s">
        <v>13</v>
      </c>
      <c r="E8" t="s">
        <v>14</v>
      </c>
      <c r="F8" t="s">
        <v>15</v>
      </c>
      <c r="G8" t="s">
        <v>16</v>
      </c>
      <c r="H8" s="5">
        <v>120000</v>
      </c>
      <c r="I8" t="s">
        <v>17</v>
      </c>
      <c r="J8" s="6">
        <v>43416</v>
      </c>
      <c r="K8">
        <v>1</v>
      </c>
      <c r="L8" t="s">
        <v>18</v>
      </c>
      <c r="M8" t="s">
        <v>19</v>
      </c>
      <c r="N8" s="9">
        <v>5.6109589041095891</v>
      </c>
      <c r="O8" t="s">
        <v>20</v>
      </c>
    </row>
    <row r="9" spans="1:15" x14ac:dyDescent="0.25">
      <c r="C9" t="s">
        <v>29</v>
      </c>
      <c r="D9" t="s">
        <v>30</v>
      </c>
      <c r="E9" t="s">
        <v>31</v>
      </c>
      <c r="F9" t="s">
        <v>24</v>
      </c>
      <c r="G9" t="s">
        <v>32</v>
      </c>
      <c r="H9" s="5">
        <v>120000</v>
      </c>
      <c r="I9" t="s">
        <v>17</v>
      </c>
      <c r="J9" s="6">
        <v>43902</v>
      </c>
      <c r="K9">
        <v>0.9</v>
      </c>
      <c r="L9" t="s">
        <v>18</v>
      </c>
      <c r="M9" t="s">
        <v>19</v>
      </c>
      <c r="N9" s="9">
        <v>4.279452054794521</v>
      </c>
      <c r="O9" t="s">
        <v>28</v>
      </c>
    </row>
    <row r="10" spans="1:15" x14ac:dyDescent="0.25">
      <c r="C10" t="s">
        <v>501</v>
      </c>
      <c r="D10" t="s">
        <v>502</v>
      </c>
      <c r="E10" t="s">
        <v>503</v>
      </c>
      <c r="F10" t="s">
        <v>15</v>
      </c>
      <c r="G10" t="s">
        <v>101</v>
      </c>
      <c r="H10" s="5">
        <v>119022.49</v>
      </c>
      <c r="I10" t="s">
        <v>17</v>
      </c>
      <c r="J10" s="6">
        <v>44431</v>
      </c>
      <c r="K10">
        <v>1</v>
      </c>
      <c r="L10" t="s">
        <v>18</v>
      </c>
      <c r="M10" t="s">
        <v>77</v>
      </c>
      <c r="N10" s="9">
        <v>2.8301369863013699</v>
      </c>
      <c r="O10" t="s">
        <v>20</v>
      </c>
    </row>
    <row r="11" spans="1:15" x14ac:dyDescent="0.25">
      <c r="C11" t="s">
        <v>42</v>
      </c>
      <c r="D11" t="s">
        <v>43</v>
      </c>
      <c r="E11" t="s">
        <v>44</v>
      </c>
      <c r="F11" t="s">
        <v>15</v>
      </c>
      <c r="G11" t="s">
        <v>16</v>
      </c>
      <c r="H11" s="5">
        <v>118976.16</v>
      </c>
      <c r="I11" t="s">
        <v>17</v>
      </c>
      <c r="J11" s="6">
        <v>44120</v>
      </c>
      <c r="K11">
        <v>1</v>
      </c>
      <c r="L11" t="s">
        <v>18</v>
      </c>
      <c r="M11" t="s">
        <v>45</v>
      </c>
      <c r="N11" s="9">
        <v>3.6821917808219178</v>
      </c>
      <c r="O11" t="s">
        <v>20</v>
      </c>
    </row>
    <row r="12" spans="1:15" x14ac:dyDescent="0.25">
      <c r="C12" t="s">
        <v>557</v>
      </c>
      <c r="D12" t="s">
        <v>558</v>
      </c>
      <c r="E12" t="s">
        <v>559</v>
      </c>
      <c r="F12" t="s">
        <v>24</v>
      </c>
      <c r="G12" t="s">
        <v>16</v>
      </c>
      <c r="H12" s="5">
        <v>118442.54</v>
      </c>
      <c r="I12" t="s">
        <v>17</v>
      </c>
      <c r="J12" s="6">
        <v>44193</v>
      </c>
      <c r="K12">
        <v>1</v>
      </c>
      <c r="L12" t="s">
        <v>18</v>
      </c>
      <c r="M12" t="s">
        <v>77</v>
      </c>
      <c r="N12" s="9">
        <v>3.4821917808219176</v>
      </c>
      <c r="O12" t="s">
        <v>20</v>
      </c>
    </row>
    <row r="13" spans="1:15" x14ac:dyDescent="0.25">
      <c r="C13" t="s">
        <v>201</v>
      </c>
      <c r="D13" t="s">
        <v>202</v>
      </c>
      <c r="E13" t="s">
        <v>203</v>
      </c>
      <c r="F13" t="s">
        <v>24</v>
      </c>
      <c r="G13" t="s">
        <v>36</v>
      </c>
      <c r="H13" s="5">
        <v>116767.63</v>
      </c>
      <c r="I13" t="s">
        <v>17</v>
      </c>
      <c r="J13" s="6">
        <v>43949</v>
      </c>
      <c r="K13">
        <v>0.4</v>
      </c>
      <c r="L13" t="s">
        <v>76</v>
      </c>
      <c r="M13" t="s">
        <v>84</v>
      </c>
      <c r="N13" s="9">
        <v>4.1506849315068495</v>
      </c>
      <c r="O13" t="s">
        <v>28</v>
      </c>
    </row>
    <row r="14" spans="1:15" x14ac:dyDescent="0.25">
      <c r="C14" t="s">
        <v>201</v>
      </c>
      <c r="D14" t="s">
        <v>619</v>
      </c>
      <c r="E14" t="s">
        <v>620</v>
      </c>
      <c r="F14" t="s">
        <v>24</v>
      </c>
      <c r="G14" t="s">
        <v>36</v>
      </c>
      <c r="H14" s="5">
        <v>116767.63</v>
      </c>
      <c r="I14" t="s">
        <v>17</v>
      </c>
      <c r="J14" s="6">
        <v>43949</v>
      </c>
      <c r="K14">
        <v>0.4</v>
      </c>
      <c r="L14" t="s">
        <v>76</v>
      </c>
      <c r="M14" t="s">
        <v>84</v>
      </c>
      <c r="N14" s="9">
        <v>4.1506849315068495</v>
      </c>
      <c r="O14" t="s">
        <v>28</v>
      </c>
    </row>
    <row r="15" spans="1:15" x14ac:dyDescent="0.25">
      <c r="C15" t="s">
        <v>336</v>
      </c>
      <c r="D15" t="s">
        <v>337</v>
      </c>
      <c r="E15" t="s">
        <v>338</v>
      </c>
      <c r="F15" t="s">
        <v>15</v>
      </c>
      <c r="G15" t="s">
        <v>124</v>
      </c>
      <c r="H15" s="5">
        <v>115191.38</v>
      </c>
      <c r="I15" t="s">
        <v>17</v>
      </c>
      <c r="J15" s="6">
        <v>44004</v>
      </c>
      <c r="K15">
        <v>1</v>
      </c>
      <c r="L15" t="s">
        <v>18</v>
      </c>
      <c r="M15" t="s">
        <v>41</v>
      </c>
      <c r="N15" s="9">
        <v>4</v>
      </c>
      <c r="O15" t="s">
        <v>20</v>
      </c>
    </row>
    <row r="16" spans="1:15" x14ac:dyDescent="0.25">
      <c r="C16" t="s">
        <v>682</v>
      </c>
      <c r="D16" t="s">
        <v>683</v>
      </c>
      <c r="E16" t="s">
        <v>684</v>
      </c>
      <c r="F16" t="s">
        <v>24</v>
      </c>
      <c r="G16" t="s">
        <v>16</v>
      </c>
      <c r="H16" s="5">
        <v>114772.32</v>
      </c>
      <c r="I16" t="s">
        <v>17</v>
      </c>
      <c r="J16" s="6">
        <v>44251</v>
      </c>
      <c r="K16">
        <v>1</v>
      </c>
      <c r="L16" t="s">
        <v>18</v>
      </c>
      <c r="M16" t="s">
        <v>72</v>
      </c>
      <c r="N16" s="9">
        <v>3.3232876712328765</v>
      </c>
      <c r="O16" t="s">
        <v>20</v>
      </c>
    </row>
    <row r="17" spans="3:15" x14ac:dyDescent="0.25">
      <c r="C17" t="s">
        <v>159</v>
      </c>
      <c r="D17" t="s">
        <v>160</v>
      </c>
      <c r="E17" t="s">
        <v>161</v>
      </c>
      <c r="F17" t="s">
        <v>15</v>
      </c>
      <c r="G17" t="s">
        <v>36</v>
      </c>
      <c r="H17" s="5">
        <v>114691.03</v>
      </c>
      <c r="I17" t="s">
        <v>17</v>
      </c>
      <c r="J17" s="6">
        <v>44039</v>
      </c>
      <c r="K17">
        <v>1</v>
      </c>
      <c r="L17" t="s">
        <v>76</v>
      </c>
      <c r="M17" t="s">
        <v>45</v>
      </c>
      <c r="N17" s="9">
        <v>3.904109589041096</v>
      </c>
      <c r="O17" t="s">
        <v>20</v>
      </c>
    </row>
    <row r="18" spans="3:15" x14ac:dyDescent="0.25">
      <c r="C18" t="s">
        <v>255</v>
      </c>
      <c r="D18" t="s">
        <v>256</v>
      </c>
      <c r="E18" t="s">
        <v>257</v>
      </c>
      <c r="F18" t="s">
        <v>15</v>
      </c>
      <c r="G18" t="s">
        <v>16</v>
      </c>
      <c r="H18" s="5">
        <v>114465.93</v>
      </c>
      <c r="I18" t="s">
        <v>17</v>
      </c>
      <c r="J18" s="6">
        <v>43291</v>
      </c>
      <c r="K18">
        <v>1</v>
      </c>
      <c r="L18" t="s">
        <v>76</v>
      </c>
      <c r="M18" t="s">
        <v>45</v>
      </c>
      <c r="N18" s="9">
        <v>5.9534246575342467</v>
      </c>
      <c r="O18" t="s">
        <v>20</v>
      </c>
    </row>
    <row r="19" spans="3:15" x14ac:dyDescent="0.25">
      <c r="C19" t="s">
        <v>66</v>
      </c>
      <c r="D19" t="s">
        <v>67</v>
      </c>
      <c r="E19" t="s">
        <v>68</v>
      </c>
      <c r="F19" t="s">
        <v>24</v>
      </c>
      <c r="G19" t="s">
        <v>16</v>
      </c>
      <c r="H19" s="5">
        <v>114425.19</v>
      </c>
      <c r="I19" t="s">
        <v>17</v>
      </c>
      <c r="J19" s="6">
        <v>43857</v>
      </c>
      <c r="K19">
        <v>1</v>
      </c>
      <c r="L19" t="s">
        <v>18</v>
      </c>
      <c r="M19" t="s">
        <v>45</v>
      </c>
      <c r="N19" s="9">
        <v>4.4027397260273968</v>
      </c>
      <c r="O19" t="s">
        <v>20</v>
      </c>
    </row>
    <row r="20" spans="3:15" x14ac:dyDescent="0.25">
      <c r="C20" t="s">
        <v>504</v>
      </c>
      <c r="D20" t="s">
        <v>505</v>
      </c>
      <c r="E20" t="s">
        <v>506</v>
      </c>
      <c r="F20" t="s">
        <v>24</v>
      </c>
      <c r="G20" t="s">
        <v>101</v>
      </c>
      <c r="H20" s="5">
        <v>114177.23</v>
      </c>
      <c r="I20" t="s">
        <v>17</v>
      </c>
      <c r="J20" s="6">
        <v>43908</v>
      </c>
      <c r="K20">
        <v>1</v>
      </c>
      <c r="L20" t="s">
        <v>18</v>
      </c>
      <c r="M20" t="s">
        <v>45</v>
      </c>
      <c r="N20" s="9">
        <v>4.2630136986301368</v>
      </c>
      <c r="O20" t="s">
        <v>20</v>
      </c>
    </row>
    <row r="21" spans="3:15" x14ac:dyDescent="0.25">
      <c r="C21" t="s">
        <v>243</v>
      </c>
      <c r="D21" t="s">
        <v>244</v>
      </c>
      <c r="E21" t="s">
        <v>245</v>
      </c>
      <c r="F21" t="s">
        <v>15</v>
      </c>
      <c r="G21" t="s">
        <v>131</v>
      </c>
      <c r="H21" s="5">
        <v>113747.56</v>
      </c>
      <c r="I21" t="s">
        <v>17</v>
      </c>
      <c r="J21" s="6">
        <v>44270</v>
      </c>
      <c r="K21">
        <v>0.7</v>
      </c>
      <c r="L21" t="s">
        <v>76</v>
      </c>
      <c r="M21" t="s">
        <v>72</v>
      </c>
      <c r="N21" s="9">
        <v>3.2712328767123289</v>
      </c>
      <c r="O21" t="s">
        <v>28</v>
      </c>
    </row>
    <row r="22" spans="3:15" x14ac:dyDescent="0.25">
      <c r="C22" t="s">
        <v>243</v>
      </c>
      <c r="D22" t="s">
        <v>244</v>
      </c>
      <c r="E22" t="s">
        <v>245</v>
      </c>
      <c r="F22" t="s">
        <v>15</v>
      </c>
      <c r="G22" t="s">
        <v>131</v>
      </c>
      <c r="H22" s="5">
        <v>113747.56</v>
      </c>
      <c r="I22" t="s">
        <v>17</v>
      </c>
      <c r="J22" s="6">
        <v>44270</v>
      </c>
      <c r="K22">
        <v>0.7</v>
      </c>
      <c r="L22" t="s">
        <v>76</v>
      </c>
      <c r="M22" t="s">
        <v>72</v>
      </c>
      <c r="N22" s="9">
        <v>3.2712328767123289</v>
      </c>
      <c r="O22" t="s">
        <v>28</v>
      </c>
    </row>
    <row r="23" spans="3:15" x14ac:dyDescent="0.25">
      <c r="C23" t="s">
        <v>147</v>
      </c>
      <c r="D23" t="s">
        <v>148</v>
      </c>
      <c r="E23" t="s">
        <v>149</v>
      </c>
      <c r="F23" t="s">
        <v>15</v>
      </c>
      <c r="G23" t="s">
        <v>131</v>
      </c>
      <c r="H23" s="5">
        <v>113616.23</v>
      </c>
      <c r="I23" t="s">
        <v>17</v>
      </c>
      <c r="J23" s="6">
        <v>43255</v>
      </c>
      <c r="K23">
        <v>1</v>
      </c>
      <c r="L23" t="s">
        <v>18</v>
      </c>
      <c r="M23" t="s">
        <v>19</v>
      </c>
      <c r="N23" s="9">
        <v>6.0520547945205481</v>
      </c>
      <c r="O23" t="s">
        <v>20</v>
      </c>
    </row>
    <row r="24" spans="3:15" x14ac:dyDescent="0.25">
      <c r="C24" t="s">
        <v>330</v>
      </c>
      <c r="D24" t="s">
        <v>331</v>
      </c>
      <c r="E24" t="s">
        <v>332</v>
      </c>
      <c r="F24" t="s">
        <v>15</v>
      </c>
      <c r="G24" t="s">
        <v>36</v>
      </c>
      <c r="H24" s="5">
        <v>112778.28</v>
      </c>
      <c r="I24" t="s">
        <v>17</v>
      </c>
      <c r="J24" s="6">
        <v>43250</v>
      </c>
      <c r="K24">
        <v>1</v>
      </c>
      <c r="L24" t="s">
        <v>37</v>
      </c>
      <c r="M24" t="s">
        <v>19</v>
      </c>
      <c r="N24" s="9">
        <v>6.065753424657534</v>
      </c>
      <c r="O24" t="s">
        <v>20</v>
      </c>
    </row>
    <row r="25" spans="3:15" x14ac:dyDescent="0.25">
      <c r="C25" t="s">
        <v>330</v>
      </c>
      <c r="D25" t="s">
        <v>331</v>
      </c>
      <c r="E25" t="s">
        <v>332</v>
      </c>
      <c r="F25" t="s">
        <v>15</v>
      </c>
      <c r="G25" t="s">
        <v>36</v>
      </c>
      <c r="H25" s="5">
        <v>112778.28</v>
      </c>
      <c r="I25" t="s">
        <v>17</v>
      </c>
      <c r="J25" s="6">
        <v>43250</v>
      </c>
      <c r="K25">
        <v>1</v>
      </c>
      <c r="L25" t="s">
        <v>37</v>
      </c>
      <c r="M25" t="s">
        <v>19</v>
      </c>
      <c r="N25" s="9">
        <v>6.065753424657534</v>
      </c>
      <c r="O25" t="s">
        <v>20</v>
      </c>
    </row>
    <row r="26" spans="3:15" x14ac:dyDescent="0.25">
      <c r="C26" t="s">
        <v>276</v>
      </c>
      <c r="D26" t="s">
        <v>277</v>
      </c>
      <c r="E26" t="s">
        <v>278</v>
      </c>
      <c r="F26" t="s">
        <v>15</v>
      </c>
      <c r="G26" t="s">
        <v>16</v>
      </c>
      <c r="H26" s="5">
        <v>112645.99</v>
      </c>
      <c r="I26" t="s">
        <v>17</v>
      </c>
      <c r="J26" s="6">
        <v>43759</v>
      </c>
      <c r="K26">
        <v>0.6</v>
      </c>
      <c r="L26" t="s">
        <v>18</v>
      </c>
      <c r="M26" t="s">
        <v>27</v>
      </c>
      <c r="N26" s="9">
        <v>4.6712328767123283</v>
      </c>
      <c r="O26" t="s">
        <v>28</v>
      </c>
    </row>
    <row r="27" spans="3:15" x14ac:dyDescent="0.25">
      <c r="C27" t="s">
        <v>374</v>
      </c>
      <c r="D27" t="s">
        <v>375</v>
      </c>
      <c r="E27" t="s">
        <v>376</v>
      </c>
      <c r="F27" t="s">
        <v>15</v>
      </c>
      <c r="G27" t="s">
        <v>32</v>
      </c>
      <c r="H27" s="5">
        <v>111815.49</v>
      </c>
      <c r="I27" t="s">
        <v>17</v>
      </c>
      <c r="J27" s="6">
        <v>43895</v>
      </c>
      <c r="K27">
        <v>0.7</v>
      </c>
      <c r="L27" t="s">
        <v>76</v>
      </c>
      <c r="M27" t="s">
        <v>19</v>
      </c>
      <c r="N27" s="9">
        <v>4.2986301369863016</v>
      </c>
      <c r="O27" t="s">
        <v>28</v>
      </c>
    </row>
    <row r="28" spans="3:15" x14ac:dyDescent="0.25">
      <c r="C28" t="s">
        <v>374</v>
      </c>
      <c r="D28" t="s">
        <v>375</v>
      </c>
      <c r="E28" t="s">
        <v>376</v>
      </c>
      <c r="F28" t="s">
        <v>15</v>
      </c>
      <c r="G28" t="s">
        <v>32</v>
      </c>
      <c r="H28" s="5">
        <v>111815.49</v>
      </c>
      <c r="I28" t="s">
        <v>17</v>
      </c>
      <c r="J28" s="6">
        <v>43895</v>
      </c>
      <c r="K28">
        <v>0.7</v>
      </c>
      <c r="L28" t="s">
        <v>76</v>
      </c>
      <c r="M28" t="s">
        <v>19</v>
      </c>
      <c r="N28" s="9">
        <v>4.2986301369863016</v>
      </c>
      <c r="O28" t="s">
        <v>28</v>
      </c>
    </row>
    <row r="29" spans="3:15" x14ac:dyDescent="0.25">
      <c r="C29" t="s">
        <v>368</v>
      </c>
      <c r="D29" t="s">
        <v>369</v>
      </c>
      <c r="E29" t="s">
        <v>370</v>
      </c>
      <c r="F29" t="s">
        <v>15</v>
      </c>
      <c r="G29" t="s">
        <v>124</v>
      </c>
      <c r="H29" s="5">
        <v>111229.47</v>
      </c>
      <c r="I29" t="s">
        <v>17</v>
      </c>
      <c r="J29" s="6">
        <v>43402</v>
      </c>
      <c r="K29">
        <v>1</v>
      </c>
      <c r="L29" t="s">
        <v>18</v>
      </c>
      <c r="M29" t="s">
        <v>19</v>
      </c>
      <c r="N29" s="9">
        <v>5.6493150684931503</v>
      </c>
      <c r="O29" t="s">
        <v>20</v>
      </c>
    </row>
    <row r="30" spans="3:15" x14ac:dyDescent="0.25">
      <c r="C30" t="s">
        <v>339</v>
      </c>
      <c r="D30" t="s">
        <v>340</v>
      </c>
      <c r="E30" t="s">
        <v>341</v>
      </c>
      <c r="F30" t="s">
        <v>24</v>
      </c>
      <c r="G30" t="s">
        <v>131</v>
      </c>
      <c r="H30" s="5">
        <v>111049.84</v>
      </c>
      <c r="I30" t="s">
        <v>17</v>
      </c>
      <c r="J30" s="6">
        <v>44393</v>
      </c>
      <c r="K30">
        <v>1</v>
      </c>
      <c r="L30" t="s">
        <v>18</v>
      </c>
      <c r="M30" t="s">
        <v>45</v>
      </c>
      <c r="N30" s="9">
        <v>2.9342465753424656</v>
      </c>
      <c r="O30" t="s">
        <v>20</v>
      </c>
    </row>
    <row r="31" spans="3:15" x14ac:dyDescent="0.25">
      <c r="C31" t="s">
        <v>150</v>
      </c>
      <c r="D31" t="s">
        <v>151</v>
      </c>
      <c r="E31" t="s">
        <v>152</v>
      </c>
      <c r="F31" t="s">
        <v>24</v>
      </c>
      <c r="G31" t="s">
        <v>124</v>
      </c>
      <c r="H31" s="5">
        <v>110906.35</v>
      </c>
      <c r="I31" t="s">
        <v>17</v>
      </c>
      <c r="J31" s="6">
        <v>43434</v>
      </c>
      <c r="K31">
        <v>1</v>
      </c>
      <c r="L31" t="s">
        <v>76</v>
      </c>
      <c r="M31" t="s">
        <v>45</v>
      </c>
      <c r="N31" s="9">
        <v>5.5616438356164384</v>
      </c>
      <c r="O31" t="s">
        <v>20</v>
      </c>
    </row>
    <row r="32" spans="3:15" x14ac:dyDescent="0.25">
      <c r="C32" t="s">
        <v>434</v>
      </c>
      <c r="D32" t="s">
        <v>435</v>
      </c>
      <c r="E32" t="s">
        <v>436</v>
      </c>
      <c r="F32" t="s">
        <v>15</v>
      </c>
      <c r="G32" t="s">
        <v>25</v>
      </c>
      <c r="H32" s="5">
        <v>110042.37</v>
      </c>
      <c r="I32" t="s">
        <v>17</v>
      </c>
      <c r="J32" s="6">
        <v>43914</v>
      </c>
      <c r="K32">
        <v>1</v>
      </c>
      <c r="L32" t="s">
        <v>18</v>
      </c>
      <c r="M32" t="s">
        <v>72</v>
      </c>
      <c r="N32" s="9">
        <v>4.2465753424657535</v>
      </c>
      <c r="O32" t="s">
        <v>20</v>
      </c>
    </row>
    <row r="33" spans="3:15" x14ac:dyDescent="0.25">
      <c r="C33" t="s">
        <v>551</v>
      </c>
      <c r="D33" t="s">
        <v>552</v>
      </c>
      <c r="E33" t="s">
        <v>553</v>
      </c>
      <c r="F33" t="s">
        <v>24</v>
      </c>
      <c r="G33" t="s">
        <v>32</v>
      </c>
      <c r="H33" s="5">
        <v>109163.39</v>
      </c>
      <c r="I33" t="s">
        <v>17</v>
      </c>
      <c r="J33" s="6">
        <v>44019</v>
      </c>
      <c r="K33">
        <v>0.8</v>
      </c>
      <c r="L33" t="s">
        <v>18</v>
      </c>
      <c r="M33" t="s">
        <v>27</v>
      </c>
      <c r="N33" s="9">
        <v>3.9589041095890409</v>
      </c>
      <c r="O33" t="s">
        <v>28</v>
      </c>
    </row>
    <row r="34" spans="3:15" x14ac:dyDescent="0.25">
      <c r="C34" t="s">
        <v>525</v>
      </c>
      <c r="D34" t="s">
        <v>526</v>
      </c>
      <c r="E34" t="s">
        <v>527</v>
      </c>
      <c r="F34" t="s">
        <v>15</v>
      </c>
      <c r="G34" t="s">
        <v>16</v>
      </c>
      <c r="H34" s="5">
        <v>109143.17</v>
      </c>
      <c r="I34" t="s">
        <v>17</v>
      </c>
      <c r="J34" s="6">
        <v>43945</v>
      </c>
      <c r="K34">
        <v>1</v>
      </c>
      <c r="L34" t="s">
        <v>18</v>
      </c>
      <c r="M34" t="s">
        <v>45</v>
      </c>
      <c r="N34" s="9">
        <v>4.161643835616438</v>
      </c>
      <c r="O34" t="s">
        <v>20</v>
      </c>
    </row>
    <row r="35" spans="3:15" x14ac:dyDescent="0.25">
      <c r="C35" t="s">
        <v>448</v>
      </c>
      <c r="D35" t="s">
        <v>449</v>
      </c>
      <c r="E35" t="s">
        <v>450</v>
      </c>
      <c r="F35" t="s">
        <v>15</v>
      </c>
      <c r="G35" t="s">
        <v>16</v>
      </c>
      <c r="H35" s="5">
        <v>108872.77</v>
      </c>
      <c r="I35" t="s">
        <v>17</v>
      </c>
      <c r="J35" s="6">
        <v>43521</v>
      </c>
      <c r="K35">
        <v>1</v>
      </c>
      <c r="L35" t="s">
        <v>18</v>
      </c>
      <c r="M35" t="s">
        <v>19</v>
      </c>
      <c r="N35" s="9">
        <v>5.3232876712328769</v>
      </c>
      <c r="O35" t="s">
        <v>20</v>
      </c>
    </row>
    <row r="36" spans="3:15" x14ac:dyDescent="0.25">
      <c r="C36" t="s">
        <v>279</v>
      </c>
      <c r="D36" t="s">
        <v>280</v>
      </c>
      <c r="E36" t="s">
        <v>281</v>
      </c>
      <c r="F36" t="s">
        <v>49</v>
      </c>
      <c r="G36" t="s">
        <v>101</v>
      </c>
      <c r="H36" s="5">
        <v>107107.6</v>
      </c>
      <c r="I36" t="s">
        <v>17</v>
      </c>
      <c r="J36" s="6">
        <v>43325</v>
      </c>
      <c r="K36">
        <v>0.9</v>
      </c>
      <c r="L36" t="s">
        <v>18</v>
      </c>
      <c r="M36" t="s">
        <v>84</v>
      </c>
      <c r="N36" s="9">
        <v>5.86027397260274</v>
      </c>
      <c r="O36" t="s">
        <v>28</v>
      </c>
    </row>
    <row r="37" spans="3:15" x14ac:dyDescent="0.25">
      <c r="C37" t="s">
        <v>264</v>
      </c>
      <c r="D37" t="s">
        <v>265</v>
      </c>
      <c r="E37" t="s">
        <v>266</v>
      </c>
      <c r="F37" t="s">
        <v>15</v>
      </c>
      <c r="G37" t="s">
        <v>124</v>
      </c>
      <c r="H37" s="5">
        <v>106775.14</v>
      </c>
      <c r="I37" t="s">
        <v>17</v>
      </c>
      <c r="J37" s="6">
        <v>43563</v>
      </c>
      <c r="K37">
        <v>1</v>
      </c>
      <c r="L37" t="s">
        <v>37</v>
      </c>
      <c r="M37" t="s">
        <v>41</v>
      </c>
      <c r="N37" s="9">
        <v>5.2082191780821914</v>
      </c>
      <c r="O37" t="s">
        <v>20</v>
      </c>
    </row>
    <row r="38" spans="3:15" x14ac:dyDescent="0.25">
      <c r="C38" t="s">
        <v>264</v>
      </c>
      <c r="D38" t="s">
        <v>363</v>
      </c>
      <c r="E38" t="s">
        <v>364</v>
      </c>
      <c r="F38" t="s">
        <v>15</v>
      </c>
      <c r="G38" t="s">
        <v>124</v>
      </c>
      <c r="H38" s="5">
        <v>106775.14</v>
      </c>
      <c r="I38" t="s">
        <v>17</v>
      </c>
      <c r="J38" s="6">
        <v>43563</v>
      </c>
      <c r="K38">
        <v>1</v>
      </c>
      <c r="L38" t="s">
        <v>37</v>
      </c>
      <c r="M38" t="s">
        <v>41</v>
      </c>
      <c r="N38" s="9">
        <v>5.2082191780821914</v>
      </c>
      <c r="O38" t="s">
        <v>20</v>
      </c>
    </row>
    <row r="39" spans="3:15" x14ac:dyDescent="0.25">
      <c r="C39" t="s">
        <v>457</v>
      </c>
      <c r="D39" t="s">
        <v>458</v>
      </c>
      <c r="E39" t="s">
        <v>459</v>
      </c>
      <c r="F39" t="s">
        <v>24</v>
      </c>
      <c r="G39" t="s">
        <v>124</v>
      </c>
      <c r="H39" s="5">
        <v>106665.67</v>
      </c>
      <c r="I39" t="s">
        <v>17</v>
      </c>
      <c r="J39" s="6">
        <v>43311</v>
      </c>
      <c r="K39">
        <v>1</v>
      </c>
      <c r="L39" t="s">
        <v>76</v>
      </c>
      <c r="M39" t="s">
        <v>72</v>
      </c>
      <c r="N39" s="9">
        <v>5.8986301369863012</v>
      </c>
      <c r="O39" t="s">
        <v>20</v>
      </c>
    </row>
    <row r="40" spans="3:15" x14ac:dyDescent="0.25">
      <c r="C40" t="s">
        <v>651</v>
      </c>
      <c r="D40" t="s">
        <v>652</v>
      </c>
      <c r="E40" t="s">
        <v>653</v>
      </c>
      <c r="F40" t="s">
        <v>15</v>
      </c>
      <c r="G40" t="s">
        <v>25</v>
      </c>
      <c r="H40" s="5">
        <v>106400.02</v>
      </c>
      <c r="I40" t="s">
        <v>17</v>
      </c>
      <c r="J40" s="6">
        <v>44021</v>
      </c>
      <c r="K40">
        <v>1</v>
      </c>
      <c r="L40" t="s">
        <v>76</v>
      </c>
      <c r="M40" t="s">
        <v>84</v>
      </c>
      <c r="N40" s="9">
        <v>3.9534246575342467</v>
      </c>
      <c r="O40" t="s">
        <v>20</v>
      </c>
    </row>
    <row r="41" spans="3:15" x14ac:dyDescent="0.25">
      <c r="C41" t="s">
        <v>651</v>
      </c>
      <c r="D41" t="s">
        <v>675</v>
      </c>
      <c r="E41" t="s">
        <v>676</v>
      </c>
      <c r="F41" t="s">
        <v>15</v>
      </c>
      <c r="G41" t="s">
        <v>25</v>
      </c>
      <c r="H41" s="5">
        <v>106400.02</v>
      </c>
      <c r="I41" t="s">
        <v>17</v>
      </c>
      <c r="J41" s="6">
        <v>44021</v>
      </c>
      <c r="K41">
        <v>1</v>
      </c>
      <c r="L41" t="s">
        <v>76</v>
      </c>
      <c r="M41" t="s">
        <v>84</v>
      </c>
      <c r="N41" s="9">
        <v>3.9534246575342467</v>
      </c>
      <c r="O41" t="s">
        <v>20</v>
      </c>
    </row>
    <row r="42" spans="3:15" x14ac:dyDescent="0.25">
      <c r="C42" t="s">
        <v>519</v>
      </c>
      <c r="D42" t="s">
        <v>520</v>
      </c>
      <c r="E42" t="s">
        <v>521</v>
      </c>
      <c r="F42" t="s">
        <v>24</v>
      </c>
      <c r="G42" t="s">
        <v>54</v>
      </c>
      <c r="H42" s="5">
        <v>104903.79</v>
      </c>
      <c r="I42" t="s">
        <v>17</v>
      </c>
      <c r="J42" s="6">
        <v>43649</v>
      </c>
      <c r="K42">
        <v>1</v>
      </c>
      <c r="L42" t="s">
        <v>18</v>
      </c>
      <c r="M42" t="s">
        <v>84</v>
      </c>
      <c r="N42" s="9">
        <v>4.9726027397260273</v>
      </c>
      <c r="O42" t="s">
        <v>20</v>
      </c>
    </row>
    <row r="43" spans="3:15" x14ac:dyDescent="0.25"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 s="5">
        <v>104802.63</v>
      </c>
      <c r="I43" t="s">
        <v>17</v>
      </c>
      <c r="J43" s="6">
        <v>44502</v>
      </c>
      <c r="K43">
        <v>1</v>
      </c>
      <c r="L43" t="s">
        <v>18</v>
      </c>
      <c r="M43" t="s">
        <v>41</v>
      </c>
      <c r="N43" s="9">
        <v>2.6356164383561644</v>
      </c>
      <c r="O43" t="s">
        <v>20</v>
      </c>
    </row>
    <row r="44" spans="3:15" x14ac:dyDescent="0.25">
      <c r="C44" t="s">
        <v>121</v>
      </c>
      <c r="D44" t="s">
        <v>122</v>
      </c>
      <c r="E44" t="s">
        <v>123</v>
      </c>
      <c r="F44" t="s">
        <v>15</v>
      </c>
      <c r="G44" t="s">
        <v>124</v>
      </c>
      <c r="H44" s="5">
        <v>104335.03999999999</v>
      </c>
      <c r="I44" t="s">
        <v>17</v>
      </c>
      <c r="J44" s="6">
        <v>43874</v>
      </c>
      <c r="K44">
        <v>1</v>
      </c>
      <c r="L44" t="s">
        <v>18</v>
      </c>
      <c r="M44" t="s">
        <v>72</v>
      </c>
      <c r="N44" s="9">
        <v>4.3561643835616435</v>
      </c>
      <c r="O44" t="s">
        <v>20</v>
      </c>
    </row>
    <row r="45" spans="3:15" x14ac:dyDescent="0.25">
      <c r="C45" t="s">
        <v>300</v>
      </c>
      <c r="D45" t="s">
        <v>301</v>
      </c>
      <c r="E45" t="s">
        <v>302</v>
      </c>
      <c r="F45" t="s">
        <v>24</v>
      </c>
      <c r="G45" t="s">
        <v>50</v>
      </c>
      <c r="H45" s="5">
        <v>104038.9</v>
      </c>
      <c r="I45" t="s">
        <v>17</v>
      </c>
      <c r="J45" s="6">
        <v>43815</v>
      </c>
      <c r="K45">
        <v>1</v>
      </c>
      <c r="L45" t="s">
        <v>37</v>
      </c>
      <c r="M45" t="s">
        <v>19</v>
      </c>
      <c r="N45" s="9">
        <v>4.5178082191780824</v>
      </c>
      <c r="O45" t="s">
        <v>20</v>
      </c>
    </row>
    <row r="46" spans="3:15" x14ac:dyDescent="0.25">
      <c r="C46" t="s">
        <v>654</v>
      </c>
      <c r="D46" t="s">
        <v>655</v>
      </c>
      <c r="E46" t="s">
        <v>656</v>
      </c>
      <c r="F46" t="s">
        <v>15</v>
      </c>
      <c r="G46" t="s">
        <v>97</v>
      </c>
      <c r="H46" s="5">
        <v>103494.94</v>
      </c>
      <c r="I46" t="s">
        <v>17</v>
      </c>
      <c r="J46" s="6">
        <v>43256</v>
      </c>
      <c r="K46">
        <v>1</v>
      </c>
      <c r="L46" t="s">
        <v>18</v>
      </c>
      <c r="M46" t="s">
        <v>19</v>
      </c>
      <c r="N46" s="9">
        <v>6.0493150684931507</v>
      </c>
      <c r="O46" t="s">
        <v>20</v>
      </c>
    </row>
    <row r="47" spans="3:15" x14ac:dyDescent="0.25">
      <c r="C47" t="s">
        <v>654</v>
      </c>
      <c r="D47" t="s">
        <v>655</v>
      </c>
      <c r="E47" t="s">
        <v>656</v>
      </c>
      <c r="F47" t="s">
        <v>15</v>
      </c>
      <c r="G47" t="s">
        <v>97</v>
      </c>
      <c r="H47" s="5">
        <v>103494.94</v>
      </c>
      <c r="I47" t="s">
        <v>17</v>
      </c>
      <c r="J47" s="6">
        <v>43256</v>
      </c>
      <c r="K47">
        <v>1</v>
      </c>
      <c r="L47" t="s">
        <v>18</v>
      </c>
      <c r="M47" t="s">
        <v>19</v>
      </c>
      <c r="N47" s="9">
        <v>6.0493150684931507</v>
      </c>
      <c r="O47" t="s">
        <v>20</v>
      </c>
    </row>
    <row r="48" spans="3:15" x14ac:dyDescent="0.25">
      <c r="C48" t="s">
        <v>189</v>
      </c>
      <c r="D48" t="s">
        <v>190</v>
      </c>
      <c r="E48" t="s">
        <v>191</v>
      </c>
      <c r="F48" t="s">
        <v>24</v>
      </c>
      <c r="G48" t="s">
        <v>36</v>
      </c>
      <c r="H48" s="5">
        <v>102934.09</v>
      </c>
      <c r="I48" t="s">
        <v>17</v>
      </c>
      <c r="J48" s="6">
        <v>44315</v>
      </c>
      <c r="K48">
        <v>1</v>
      </c>
      <c r="L48" t="s">
        <v>18</v>
      </c>
      <c r="M48" t="s">
        <v>41</v>
      </c>
      <c r="N48" s="9">
        <v>3.1479452054794521</v>
      </c>
      <c r="O48" t="s">
        <v>20</v>
      </c>
    </row>
    <row r="49" spans="3:15" x14ac:dyDescent="0.25">
      <c r="C49" t="s">
        <v>599</v>
      </c>
      <c r="D49" t="s">
        <v>600</v>
      </c>
      <c r="E49" t="s">
        <v>601</v>
      </c>
      <c r="F49" t="s">
        <v>15</v>
      </c>
      <c r="G49" t="s">
        <v>101</v>
      </c>
      <c r="H49" s="5">
        <v>102515.81</v>
      </c>
      <c r="I49" t="s">
        <v>17</v>
      </c>
      <c r="J49" s="6">
        <v>43902</v>
      </c>
      <c r="K49">
        <v>1</v>
      </c>
      <c r="L49" t="s">
        <v>37</v>
      </c>
      <c r="M49" t="s">
        <v>84</v>
      </c>
      <c r="N49" s="9">
        <v>4.279452054794521</v>
      </c>
      <c r="O49" t="s">
        <v>20</v>
      </c>
    </row>
    <row r="50" spans="3:15" x14ac:dyDescent="0.25">
      <c r="C50" t="s">
        <v>630</v>
      </c>
      <c r="D50" t="s">
        <v>631</v>
      </c>
      <c r="E50" t="s">
        <v>632</v>
      </c>
      <c r="F50" t="s">
        <v>24</v>
      </c>
      <c r="G50" t="s">
        <v>105</v>
      </c>
      <c r="H50" s="5">
        <v>102129.37</v>
      </c>
      <c r="I50" t="s">
        <v>17</v>
      </c>
      <c r="J50" s="6">
        <v>44396</v>
      </c>
      <c r="K50">
        <v>1</v>
      </c>
      <c r="L50" t="s">
        <v>18</v>
      </c>
      <c r="M50" t="s">
        <v>72</v>
      </c>
      <c r="N50" s="9">
        <v>2.9260273972602739</v>
      </c>
      <c r="O50" t="s">
        <v>20</v>
      </c>
    </row>
    <row r="51" spans="3:15" x14ac:dyDescent="0.25">
      <c r="C51" t="s">
        <v>297</v>
      </c>
      <c r="D51" t="s">
        <v>298</v>
      </c>
      <c r="E51" t="s">
        <v>299</v>
      </c>
      <c r="F51" t="s">
        <v>24</v>
      </c>
      <c r="G51" t="s">
        <v>36</v>
      </c>
      <c r="H51" s="5">
        <v>101187.36</v>
      </c>
      <c r="I51" t="s">
        <v>17</v>
      </c>
      <c r="J51" s="6">
        <v>43258</v>
      </c>
      <c r="K51">
        <v>1</v>
      </c>
      <c r="L51" t="s">
        <v>37</v>
      </c>
      <c r="M51" t="s">
        <v>72</v>
      </c>
      <c r="N51" s="9">
        <v>6.043835616438356</v>
      </c>
      <c r="O51" t="s">
        <v>20</v>
      </c>
    </row>
    <row r="52" spans="3:15" x14ac:dyDescent="0.25">
      <c r="C52" t="s">
        <v>507</v>
      </c>
      <c r="D52" t="s">
        <v>508</v>
      </c>
      <c r="E52" t="s">
        <v>509</v>
      </c>
      <c r="F52" t="s">
        <v>24</v>
      </c>
      <c r="G52" t="s">
        <v>97</v>
      </c>
      <c r="H52" s="5">
        <v>100731.95</v>
      </c>
      <c r="I52" t="s">
        <v>17</v>
      </c>
      <c r="J52" s="6">
        <v>43936</v>
      </c>
      <c r="K52">
        <v>1</v>
      </c>
      <c r="L52" t="s">
        <v>18</v>
      </c>
      <c r="M52" t="s">
        <v>77</v>
      </c>
      <c r="N52" s="9">
        <v>4.1863013698630134</v>
      </c>
      <c r="O52" t="s">
        <v>20</v>
      </c>
    </row>
    <row r="53" spans="3:15" x14ac:dyDescent="0.25">
      <c r="C53" t="s">
        <v>460</v>
      </c>
      <c r="D53" t="s">
        <v>461</v>
      </c>
      <c r="E53" t="s">
        <v>462</v>
      </c>
      <c r="F53" t="s">
        <v>15</v>
      </c>
      <c r="G53" t="s">
        <v>32</v>
      </c>
      <c r="H53" s="5">
        <v>100424.23</v>
      </c>
      <c r="I53" t="s">
        <v>17</v>
      </c>
      <c r="J53" s="6">
        <v>43801</v>
      </c>
      <c r="K53">
        <v>1</v>
      </c>
      <c r="L53" t="s">
        <v>18</v>
      </c>
      <c r="M53" t="s">
        <v>77</v>
      </c>
      <c r="N53" s="9">
        <v>4.5561643835616437</v>
      </c>
      <c r="O53" t="s">
        <v>20</v>
      </c>
    </row>
    <row r="54" spans="3:15" x14ac:dyDescent="0.25">
      <c r="C54" t="s">
        <v>153</v>
      </c>
      <c r="D54" t="s">
        <v>154</v>
      </c>
      <c r="E54" t="s">
        <v>155</v>
      </c>
      <c r="F54" t="s">
        <v>24</v>
      </c>
      <c r="G54" t="s">
        <v>50</v>
      </c>
      <c r="H54" s="5">
        <v>100371.31</v>
      </c>
      <c r="I54" t="s">
        <v>17</v>
      </c>
      <c r="J54" s="6">
        <v>44067</v>
      </c>
      <c r="K54">
        <v>0.8</v>
      </c>
      <c r="L54" t="s">
        <v>37</v>
      </c>
      <c r="M54" t="s">
        <v>77</v>
      </c>
      <c r="N54" s="9">
        <v>3.8273972602739725</v>
      </c>
      <c r="O54" t="s">
        <v>28</v>
      </c>
    </row>
    <row r="55" spans="3:15" x14ac:dyDescent="0.25">
      <c r="C55" t="s">
        <v>633</v>
      </c>
      <c r="D55" t="s">
        <v>634</v>
      </c>
      <c r="E55" t="s">
        <v>635</v>
      </c>
      <c r="F55" t="s">
        <v>24</v>
      </c>
      <c r="G55" t="s">
        <v>36</v>
      </c>
      <c r="H55" s="5">
        <v>99965.97</v>
      </c>
      <c r="I55" t="s">
        <v>26</v>
      </c>
      <c r="J55" s="6">
        <v>43133</v>
      </c>
      <c r="K55">
        <v>1</v>
      </c>
      <c r="L55" t="s">
        <v>18</v>
      </c>
      <c r="M55" t="s">
        <v>19</v>
      </c>
      <c r="N55" s="9">
        <v>6.3863013698630136</v>
      </c>
      <c r="O55" t="s">
        <v>20</v>
      </c>
    </row>
    <row r="56" spans="3:15" x14ac:dyDescent="0.25">
      <c r="C56" t="s">
        <v>303</v>
      </c>
      <c r="D56" t="s">
        <v>304</v>
      </c>
      <c r="E56" t="s">
        <v>305</v>
      </c>
      <c r="F56" t="s">
        <v>24</v>
      </c>
      <c r="G56" t="s">
        <v>58</v>
      </c>
      <c r="H56" s="5">
        <v>99683.67</v>
      </c>
      <c r="I56" t="s">
        <v>26</v>
      </c>
      <c r="J56" s="6">
        <v>43500</v>
      </c>
      <c r="K56">
        <v>1</v>
      </c>
      <c r="L56" t="s">
        <v>37</v>
      </c>
      <c r="M56" t="s">
        <v>27</v>
      </c>
      <c r="N56" s="9">
        <v>5.3808219178082188</v>
      </c>
      <c r="O56" t="s">
        <v>20</v>
      </c>
    </row>
    <row r="57" spans="3:15" x14ac:dyDescent="0.25">
      <c r="C57" t="s">
        <v>303</v>
      </c>
      <c r="D57" t="s">
        <v>304</v>
      </c>
      <c r="E57" t="s">
        <v>305</v>
      </c>
      <c r="F57" t="s">
        <v>24</v>
      </c>
      <c r="G57" t="s">
        <v>58</v>
      </c>
      <c r="H57" s="5">
        <v>99683.67</v>
      </c>
      <c r="I57" t="s">
        <v>26</v>
      </c>
      <c r="J57" s="6">
        <v>43500</v>
      </c>
      <c r="K57">
        <v>1</v>
      </c>
      <c r="L57" t="s">
        <v>37</v>
      </c>
      <c r="M57" t="s">
        <v>27</v>
      </c>
      <c r="N57" s="9">
        <v>5.3808219178082188</v>
      </c>
      <c r="O57" t="s">
        <v>20</v>
      </c>
    </row>
    <row r="58" spans="3:15" x14ac:dyDescent="0.25">
      <c r="C58" t="s">
        <v>401</v>
      </c>
      <c r="D58" t="s">
        <v>402</v>
      </c>
      <c r="E58" t="s">
        <v>403</v>
      </c>
      <c r="F58" t="s">
        <v>15</v>
      </c>
      <c r="G58" t="s">
        <v>131</v>
      </c>
      <c r="H58" s="5">
        <v>99460.78</v>
      </c>
      <c r="I58" t="s">
        <v>26</v>
      </c>
      <c r="J58" s="6">
        <v>43956</v>
      </c>
      <c r="K58">
        <v>1</v>
      </c>
      <c r="L58" t="s">
        <v>18</v>
      </c>
      <c r="M58" t="s">
        <v>19</v>
      </c>
      <c r="N58" s="9">
        <v>4.1315068493150688</v>
      </c>
      <c r="O58" t="s">
        <v>20</v>
      </c>
    </row>
    <row r="59" spans="3:15" x14ac:dyDescent="0.25">
      <c r="C59" t="s">
        <v>237</v>
      </c>
      <c r="D59" t="s">
        <v>238</v>
      </c>
      <c r="E59" t="s">
        <v>239</v>
      </c>
      <c r="F59" t="s">
        <v>49</v>
      </c>
      <c r="G59" t="s">
        <v>97</v>
      </c>
      <c r="H59" s="5">
        <v>99448.78</v>
      </c>
      <c r="I59" t="s">
        <v>26</v>
      </c>
      <c r="J59" s="6">
        <v>43473</v>
      </c>
      <c r="K59">
        <v>1</v>
      </c>
      <c r="L59" t="s">
        <v>37</v>
      </c>
      <c r="M59" t="s">
        <v>45</v>
      </c>
      <c r="N59" s="9">
        <v>5.4547945205479449</v>
      </c>
      <c r="O59" t="s">
        <v>20</v>
      </c>
    </row>
    <row r="60" spans="3:15" x14ac:dyDescent="0.25">
      <c r="C60" t="s">
        <v>237</v>
      </c>
      <c r="D60" t="s">
        <v>238</v>
      </c>
      <c r="E60" t="s">
        <v>239</v>
      </c>
      <c r="F60" t="s">
        <v>49</v>
      </c>
      <c r="G60" t="s">
        <v>97</v>
      </c>
      <c r="H60" s="5">
        <v>99448.78</v>
      </c>
      <c r="I60" t="s">
        <v>26</v>
      </c>
      <c r="J60" s="6">
        <v>43473</v>
      </c>
      <c r="K60">
        <v>1</v>
      </c>
      <c r="L60" t="s">
        <v>37</v>
      </c>
      <c r="M60" t="s">
        <v>45</v>
      </c>
      <c r="N60" s="9">
        <v>5.4547945205479449</v>
      </c>
      <c r="O60" t="s">
        <v>20</v>
      </c>
    </row>
    <row r="61" spans="3:15" x14ac:dyDescent="0.25">
      <c r="C61" t="s">
        <v>718</v>
      </c>
      <c r="D61" t="s">
        <v>719</v>
      </c>
      <c r="E61" t="s">
        <v>720</v>
      </c>
      <c r="F61" t="s">
        <v>49</v>
      </c>
      <c r="G61" t="s">
        <v>101</v>
      </c>
      <c r="H61" s="5">
        <v>98012.63</v>
      </c>
      <c r="I61" t="s">
        <v>26</v>
      </c>
      <c r="J61" s="6">
        <v>43780</v>
      </c>
      <c r="K61">
        <v>1</v>
      </c>
      <c r="L61" t="s">
        <v>18</v>
      </c>
      <c r="M61" t="s">
        <v>19</v>
      </c>
      <c r="N61" s="9">
        <v>4.6136986301369864</v>
      </c>
      <c r="O61" t="s">
        <v>20</v>
      </c>
    </row>
    <row r="62" spans="3:15" x14ac:dyDescent="0.25"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s="5">
        <v>98000</v>
      </c>
      <c r="I62" t="s">
        <v>26</v>
      </c>
      <c r="J62" s="6">
        <v>43710</v>
      </c>
      <c r="K62">
        <v>0.9</v>
      </c>
      <c r="L62" t="s">
        <v>18</v>
      </c>
      <c r="M62" t="s">
        <v>27</v>
      </c>
      <c r="N62" s="9">
        <v>4.8054794520547945</v>
      </c>
      <c r="O62" t="s">
        <v>28</v>
      </c>
    </row>
    <row r="63" spans="3:15" x14ac:dyDescent="0.25">
      <c r="C63" t="s">
        <v>548</v>
      </c>
      <c r="D63" t="s">
        <v>549</v>
      </c>
      <c r="E63" t="s">
        <v>550</v>
      </c>
      <c r="F63" t="s">
        <v>24</v>
      </c>
      <c r="G63" t="s">
        <v>16</v>
      </c>
      <c r="H63" s="5">
        <v>97105.19</v>
      </c>
      <c r="I63" t="s">
        <v>26</v>
      </c>
      <c r="J63" s="6">
        <v>44425</v>
      </c>
      <c r="K63">
        <v>1</v>
      </c>
      <c r="L63" t="s">
        <v>18</v>
      </c>
      <c r="M63" t="s">
        <v>72</v>
      </c>
      <c r="N63" s="9">
        <v>2.8465753424657536</v>
      </c>
      <c r="O63" t="s">
        <v>20</v>
      </c>
    </row>
    <row r="64" spans="3:15" x14ac:dyDescent="0.25">
      <c r="C64" t="s">
        <v>492</v>
      </c>
      <c r="D64" t="s">
        <v>493</v>
      </c>
      <c r="E64" t="s">
        <v>494</v>
      </c>
      <c r="F64" t="s">
        <v>15</v>
      </c>
      <c r="G64" t="s">
        <v>105</v>
      </c>
      <c r="H64" s="5">
        <v>96753.78</v>
      </c>
      <c r="I64" t="s">
        <v>26</v>
      </c>
      <c r="J64" s="6">
        <v>44494</v>
      </c>
      <c r="K64">
        <v>1</v>
      </c>
      <c r="L64" t="s">
        <v>18</v>
      </c>
      <c r="M64" t="s">
        <v>77</v>
      </c>
      <c r="N64" s="9">
        <v>2.6575342465753424</v>
      </c>
      <c r="O64" t="s">
        <v>20</v>
      </c>
    </row>
    <row r="65" spans="3:15" x14ac:dyDescent="0.25">
      <c r="C65" t="s">
        <v>492</v>
      </c>
      <c r="D65" t="s">
        <v>493</v>
      </c>
      <c r="E65" t="s">
        <v>494</v>
      </c>
      <c r="F65" t="s">
        <v>15</v>
      </c>
      <c r="G65" t="s">
        <v>105</v>
      </c>
      <c r="H65" s="5">
        <v>96753.78</v>
      </c>
      <c r="I65" t="s">
        <v>26</v>
      </c>
      <c r="J65" s="6">
        <v>44494</v>
      </c>
      <c r="K65">
        <v>1</v>
      </c>
      <c r="L65" t="s">
        <v>18</v>
      </c>
      <c r="M65" t="s">
        <v>77</v>
      </c>
      <c r="N65" s="9">
        <v>2.6575342465753424</v>
      </c>
      <c r="O65" t="s">
        <v>20</v>
      </c>
    </row>
    <row r="66" spans="3:15" x14ac:dyDescent="0.25">
      <c r="C66" t="s">
        <v>425</v>
      </c>
      <c r="D66" t="s">
        <v>426</v>
      </c>
      <c r="E66" t="s">
        <v>427</v>
      </c>
      <c r="F66" t="s">
        <v>24</v>
      </c>
      <c r="G66" t="s">
        <v>58</v>
      </c>
      <c r="H66" s="5">
        <v>96555.53</v>
      </c>
      <c r="I66" t="s">
        <v>26</v>
      </c>
      <c r="J66" s="6">
        <v>43489</v>
      </c>
      <c r="K66">
        <v>0.2</v>
      </c>
      <c r="L66" t="s">
        <v>76</v>
      </c>
      <c r="M66" t="s">
        <v>41</v>
      </c>
      <c r="N66" s="9">
        <v>5.4109589041095889</v>
      </c>
      <c r="O66" t="s">
        <v>28</v>
      </c>
    </row>
    <row r="67" spans="3:15" x14ac:dyDescent="0.25">
      <c r="C67" t="s">
        <v>627</v>
      </c>
      <c r="D67" t="s">
        <v>628</v>
      </c>
      <c r="E67" t="s">
        <v>629</v>
      </c>
      <c r="F67" t="s">
        <v>24</v>
      </c>
      <c r="G67" t="s">
        <v>36</v>
      </c>
      <c r="H67" s="5">
        <v>96135.75</v>
      </c>
      <c r="I67" t="s">
        <v>26</v>
      </c>
      <c r="J67" s="6">
        <v>44025</v>
      </c>
      <c r="K67">
        <v>0.3</v>
      </c>
      <c r="L67" t="s">
        <v>18</v>
      </c>
      <c r="M67" t="s">
        <v>45</v>
      </c>
      <c r="N67" s="9">
        <v>3.9424657534246577</v>
      </c>
      <c r="O67" t="s">
        <v>28</v>
      </c>
    </row>
    <row r="68" spans="3:15" x14ac:dyDescent="0.25">
      <c r="C68" t="s">
        <v>392</v>
      </c>
      <c r="D68" t="s">
        <v>393</v>
      </c>
      <c r="E68" t="s">
        <v>394</v>
      </c>
      <c r="F68" t="s">
        <v>15</v>
      </c>
      <c r="G68" t="s">
        <v>101</v>
      </c>
      <c r="H68" s="5">
        <v>95954.02</v>
      </c>
      <c r="I68" t="s">
        <v>26</v>
      </c>
      <c r="J68" s="6">
        <v>43567</v>
      </c>
      <c r="K68">
        <v>0.3</v>
      </c>
      <c r="L68" t="s">
        <v>18</v>
      </c>
      <c r="M68" t="s">
        <v>41</v>
      </c>
      <c r="N68" s="9">
        <v>5.1972602739726028</v>
      </c>
      <c r="O68" t="s">
        <v>28</v>
      </c>
    </row>
    <row r="69" spans="3:15" x14ac:dyDescent="0.25">
      <c r="C69" t="s">
        <v>395</v>
      </c>
      <c r="D69" t="s">
        <v>396</v>
      </c>
      <c r="E69" t="s">
        <v>397</v>
      </c>
      <c r="F69" t="s">
        <v>24</v>
      </c>
      <c r="G69" t="s">
        <v>36</v>
      </c>
      <c r="H69" s="5">
        <v>95677.9</v>
      </c>
      <c r="I69" t="s">
        <v>26</v>
      </c>
      <c r="J69" s="6">
        <v>44396</v>
      </c>
      <c r="K69">
        <v>0.3</v>
      </c>
      <c r="L69" t="s">
        <v>18</v>
      </c>
      <c r="M69" t="s">
        <v>84</v>
      </c>
      <c r="N69" s="9">
        <v>2.9260273972602739</v>
      </c>
      <c r="O69" t="s">
        <v>28</v>
      </c>
    </row>
    <row r="70" spans="3:15" x14ac:dyDescent="0.25">
      <c r="C70" t="s">
        <v>472</v>
      </c>
      <c r="D70" t="s">
        <v>473</v>
      </c>
      <c r="E70" t="s">
        <v>474</v>
      </c>
      <c r="F70" t="s">
        <v>15</v>
      </c>
      <c r="G70" t="s">
        <v>50</v>
      </c>
      <c r="H70" s="5">
        <v>95017.1</v>
      </c>
      <c r="I70" t="s">
        <v>26</v>
      </c>
      <c r="J70" s="6">
        <v>43283</v>
      </c>
      <c r="K70">
        <v>1</v>
      </c>
      <c r="L70" t="s">
        <v>37</v>
      </c>
      <c r="M70" t="s">
        <v>27</v>
      </c>
      <c r="N70" s="9">
        <v>5.9753424657534246</v>
      </c>
      <c r="O70" t="s">
        <v>20</v>
      </c>
    </row>
    <row r="71" spans="3:15" x14ac:dyDescent="0.25">
      <c r="C71" t="s">
        <v>639</v>
      </c>
      <c r="D71" t="s">
        <v>640</v>
      </c>
      <c r="E71" t="s">
        <v>641</v>
      </c>
      <c r="F71" t="s">
        <v>24</v>
      </c>
      <c r="G71" t="s">
        <v>16</v>
      </c>
      <c r="H71" s="5">
        <v>94815.28</v>
      </c>
      <c r="I71" t="s">
        <v>26</v>
      </c>
      <c r="J71" s="6">
        <v>43440</v>
      </c>
      <c r="K71">
        <v>1</v>
      </c>
      <c r="L71" t="s">
        <v>18</v>
      </c>
      <c r="M71" t="s">
        <v>27</v>
      </c>
      <c r="N71" s="9">
        <v>5.5452054794520551</v>
      </c>
      <c r="O71" t="s">
        <v>20</v>
      </c>
    </row>
    <row r="72" spans="3:15" x14ac:dyDescent="0.25">
      <c r="C72" t="s">
        <v>694</v>
      </c>
      <c r="D72" t="s">
        <v>695</v>
      </c>
      <c r="E72" t="s">
        <v>696</v>
      </c>
      <c r="F72" t="s">
        <v>24</v>
      </c>
      <c r="G72" t="s">
        <v>36</v>
      </c>
      <c r="H72" s="5">
        <v>93964.3</v>
      </c>
      <c r="I72" t="s">
        <v>26</v>
      </c>
      <c r="J72" s="6">
        <v>44454</v>
      </c>
      <c r="K72">
        <v>0.4</v>
      </c>
      <c r="L72" t="s">
        <v>37</v>
      </c>
      <c r="M72" t="s">
        <v>41</v>
      </c>
      <c r="N72" s="9">
        <v>2.7671232876712328</v>
      </c>
      <c r="O72" t="s">
        <v>28</v>
      </c>
    </row>
    <row r="73" spans="3:15" x14ac:dyDescent="0.25">
      <c r="C73" t="s">
        <v>33</v>
      </c>
      <c r="D73" t="s">
        <v>34</v>
      </c>
      <c r="E73" t="s">
        <v>35</v>
      </c>
      <c r="F73" t="s">
        <v>24</v>
      </c>
      <c r="G73" t="s">
        <v>36</v>
      </c>
      <c r="H73" s="5">
        <v>93128.34</v>
      </c>
      <c r="I73" t="s">
        <v>26</v>
      </c>
      <c r="J73" s="6">
        <v>43164</v>
      </c>
      <c r="K73">
        <v>1</v>
      </c>
      <c r="L73" t="s">
        <v>37</v>
      </c>
      <c r="M73" t="s">
        <v>27</v>
      </c>
      <c r="N73" s="9">
        <v>6.3013698630136989</v>
      </c>
      <c r="O73" t="s">
        <v>20</v>
      </c>
    </row>
    <row r="74" spans="3:15" x14ac:dyDescent="0.25">
      <c r="C74" t="s">
        <v>722</v>
      </c>
      <c r="D74" t="s">
        <v>723</v>
      </c>
      <c r="E74" t="s">
        <v>724</v>
      </c>
      <c r="F74" t="s">
        <v>15</v>
      </c>
      <c r="G74" t="s">
        <v>16</v>
      </c>
      <c r="H74" s="5">
        <v>92943.89</v>
      </c>
      <c r="I74" t="s">
        <v>26</v>
      </c>
      <c r="J74" s="6">
        <v>44510</v>
      </c>
      <c r="K74">
        <v>1</v>
      </c>
      <c r="L74" t="s">
        <v>18</v>
      </c>
      <c r="M74" t="s">
        <v>41</v>
      </c>
      <c r="N74" s="9">
        <v>2.6136986301369864</v>
      </c>
      <c r="O74" t="s">
        <v>20</v>
      </c>
    </row>
    <row r="75" spans="3:15" x14ac:dyDescent="0.25">
      <c r="C75" t="s">
        <v>542</v>
      </c>
      <c r="D75" t="s">
        <v>543</v>
      </c>
      <c r="E75" t="s">
        <v>544</v>
      </c>
      <c r="F75" t="s">
        <v>24</v>
      </c>
      <c r="G75" t="s">
        <v>97</v>
      </c>
      <c r="H75" s="5">
        <v>92704.48</v>
      </c>
      <c r="I75" t="s">
        <v>26</v>
      </c>
      <c r="J75" s="6">
        <v>43430</v>
      </c>
      <c r="K75">
        <v>1</v>
      </c>
      <c r="L75" t="s">
        <v>37</v>
      </c>
      <c r="M75" t="s">
        <v>72</v>
      </c>
      <c r="N75" s="9">
        <v>5.5726027397260278</v>
      </c>
      <c r="O75" t="s">
        <v>20</v>
      </c>
    </row>
    <row r="76" spans="3:15" x14ac:dyDescent="0.25">
      <c r="C76" t="s">
        <v>413</v>
      </c>
      <c r="D76" t="s">
        <v>414</v>
      </c>
      <c r="E76" t="s">
        <v>415</v>
      </c>
      <c r="F76" t="s">
        <v>24</v>
      </c>
      <c r="G76" t="s">
        <v>58</v>
      </c>
      <c r="H76" s="5">
        <v>92336.08</v>
      </c>
      <c r="I76" t="s">
        <v>26</v>
      </c>
      <c r="J76" s="6">
        <v>44431</v>
      </c>
      <c r="K76">
        <v>1</v>
      </c>
      <c r="L76" t="s">
        <v>18</v>
      </c>
      <c r="M76" t="s">
        <v>41</v>
      </c>
      <c r="N76" s="9">
        <v>2.8301369863013699</v>
      </c>
      <c r="O76" t="s">
        <v>20</v>
      </c>
    </row>
    <row r="77" spans="3:15" x14ac:dyDescent="0.25">
      <c r="C77" t="s">
        <v>576</v>
      </c>
      <c r="D77" t="s">
        <v>238</v>
      </c>
      <c r="E77" t="s">
        <v>577</v>
      </c>
      <c r="F77" t="s">
        <v>24</v>
      </c>
      <c r="G77" t="s">
        <v>124</v>
      </c>
      <c r="H77" s="5">
        <v>91929.69</v>
      </c>
      <c r="I77" t="s">
        <v>26</v>
      </c>
      <c r="J77" s="6">
        <v>44085</v>
      </c>
      <c r="K77">
        <v>1</v>
      </c>
      <c r="L77" t="s">
        <v>37</v>
      </c>
      <c r="M77" t="s">
        <v>19</v>
      </c>
      <c r="N77" s="9">
        <v>3.7780821917808218</v>
      </c>
      <c r="O77" t="s">
        <v>20</v>
      </c>
    </row>
    <row r="78" spans="3:15" x14ac:dyDescent="0.25">
      <c r="C78" t="s">
        <v>294</v>
      </c>
      <c r="D78" t="s">
        <v>295</v>
      </c>
      <c r="E78" t="s">
        <v>296</v>
      </c>
      <c r="F78" t="s">
        <v>15</v>
      </c>
      <c r="G78" t="s">
        <v>101</v>
      </c>
      <c r="H78" s="5">
        <v>91645.04</v>
      </c>
      <c r="I78" t="s">
        <v>26</v>
      </c>
      <c r="J78" s="6">
        <v>44223</v>
      </c>
      <c r="K78">
        <v>1</v>
      </c>
      <c r="L78" t="s">
        <v>18</v>
      </c>
      <c r="M78" t="s">
        <v>77</v>
      </c>
      <c r="N78" s="9">
        <v>3.4</v>
      </c>
      <c r="O78" t="s">
        <v>20</v>
      </c>
    </row>
    <row r="79" spans="3:15" x14ac:dyDescent="0.25">
      <c r="C79" t="s">
        <v>710</v>
      </c>
      <c r="D79" t="s">
        <v>711</v>
      </c>
      <c r="E79" t="s">
        <v>712</v>
      </c>
      <c r="F79" t="s">
        <v>15</v>
      </c>
      <c r="G79" t="s">
        <v>105</v>
      </c>
      <c r="H79" s="5">
        <v>91314.75</v>
      </c>
      <c r="I79" t="s">
        <v>26</v>
      </c>
      <c r="J79" s="6">
        <v>43931</v>
      </c>
      <c r="K79">
        <v>1</v>
      </c>
      <c r="L79" t="s">
        <v>37</v>
      </c>
      <c r="M79" t="s">
        <v>27</v>
      </c>
      <c r="N79" s="9">
        <v>4.2</v>
      </c>
      <c r="O79" t="s">
        <v>20</v>
      </c>
    </row>
    <row r="80" spans="3:15" x14ac:dyDescent="0.25">
      <c r="C80" t="s">
        <v>132</v>
      </c>
      <c r="D80" t="s">
        <v>133</v>
      </c>
      <c r="E80" t="s">
        <v>134</v>
      </c>
      <c r="F80" t="s">
        <v>15</v>
      </c>
      <c r="G80" t="s">
        <v>25</v>
      </c>
      <c r="H80" s="5">
        <v>90884.32</v>
      </c>
      <c r="I80" t="s">
        <v>26</v>
      </c>
      <c r="J80" s="6">
        <v>43826</v>
      </c>
      <c r="K80">
        <v>1</v>
      </c>
      <c r="L80" t="s">
        <v>18</v>
      </c>
      <c r="M80" t="s">
        <v>72</v>
      </c>
      <c r="N80" s="9">
        <v>4.4876712328767123</v>
      </c>
      <c r="O80" t="s">
        <v>20</v>
      </c>
    </row>
    <row r="81" spans="3:15" x14ac:dyDescent="0.25">
      <c r="C81" t="s">
        <v>132</v>
      </c>
      <c r="D81" t="s">
        <v>133</v>
      </c>
      <c r="E81" t="s">
        <v>134</v>
      </c>
      <c r="F81" t="s">
        <v>15</v>
      </c>
      <c r="G81" t="s">
        <v>25</v>
      </c>
      <c r="H81" s="5">
        <v>90884.32</v>
      </c>
      <c r="I81" t="s">
        <v>26</v>
      </c>
      <c r="J81" s="6">
        <v>43826</v>
      </c>
      <c r="K81">
        <v>1</v>
      </c>
      <c r="L81" t="s">
        <v>18</v>
      </c>
      <c r="M81" t="s">
        <v>72</v>
      </c>
      <c r="N81" s="9">
        <v>4.4876712328767123</v>
      </c>
      <c r="O81" t="s">
        <v>20</v>
      </c>
    </row>
    <row r="82" spans="3:15" x14ac:dyDescent="0.25">
      <c r="C82" t="s">
        <v>697</v>
      </c>
      <c r="D82" t="s">
        <v>133</v>
      </c>
      <c r="E82" t="s">
        <v>134</v>
      </c>
      <c r="F82" t="s">
        <v>15</v>
      </c>
      <c r="G82" t="s">
        <v>25</v>
      </c>
      <c r="H82" s="5">
        <v>90884.32</v>
      </c>
      <c r="I82" t="s">
        <v>26</v>
      </c>
      <c r="J82" s="6">
        <v>44039</v>
      </c>
      <c r="K82">
        <v>0.5</v>
      </c>
      <c r="L82" t="s">
        <v>18</v>
      </c>
      <c r="M82" t="s">
        <v>72</v>
      </c>
      <c r="N82" s="9">
        <v>3.904109589041096</v>
      </c>
      <c r="O82" t="s">
        <v>28</v>
      </c>
    </row>
    <row r="83" spans="3:15" x14ac:dyDescent="0.25">
      <c r="C83" t="s">
        <v>128</v>
      </c>
      <c r="D83" t="s">
        <v>129</v>
      </c>
      <c r="E83" t="s">
        <v>130</v>
      </c>
      <c r="F83" t="s">
        <v>15</v>
      </c>
      <c r="G83" t="s">
        <v>131</v>
      </c>
      <c r="H83" s="5">
        <v>90697.67</v>
      </c>
      <c r="I83" t="s">
        <v>26</v>
      </c>
      <c r="J83" s="6">
        <v>44221</v>
      </c>
      <c r="K83">
        <v>0.8</v>
      </c>
      <c r="L83" t="s">
        <v>18</v>
      </c>
      <c r="M83" t="s">
        <v>27</v>
      </c>
      <c r="N83" s="9">
        <v>3.4054794520547946</v>
      </c>
      <c r="O83" t="s">
        <v>28</v>
      </c>
    </row>
    <row r="84" spans="3:15" x14ac:dyDescent="0.25">
      <c r="C84" t="s">
        <v>615</v>
      </c>
      <c r="D84" t="s">
        <v>247</v>
      </c>
      <c r="E84" t="s">
        <v>616</v>
      </c>
      <c r="F84" t="s">
        <v>15</v>
      </c>
      <c r="G84" t="s">
        <v>124</v>
      </c>
      <c r="H84" s="5">
        <v>89960.6</v>
      </c>
      <c r="I84" t="s">
        <v>26</v>
      </c>
      <c r="J84" s="6">
        <v>43515</v>
      </c>
      <c r="K84">
        <v>1</v>
      </c>
      <c r="L84" t="s">
        <v>37</v>
      </c>
      <c r="M84" t="s">
        <v>77</v>
      </c>
      <c r="N84" s="9">
        <v>5.3397260273972602</v>
      </c>
      <c r="O84" t="s">
        <v>20</v>
      </c>
    </row>
    <row r="85" spans="3:15" x14ac:dyDescent="0.25">
      <c r="C85" t="s">
        <v>357</v>
      </c>
      <c r="D85" t="s">
        <v>358</v>
      </c>
      <c r="E85" t="s">
        <v>359</v>
      </c>
      <c r="F85" t="s">
        <v>15</v>
      </c>
      <c r="G85" t="s">
        <v>131</v>
      </c>
      <c r="H85" s="5">
        <v>89838.77</v>
      </c>
      <c r="I85" t="s">
        <v>26</v>
      </c>
      <c r="J85" s="6">
        <v>43602</v>
      </c>
      <c r="K85">
        <v>1</v>
      </c>
      <c r="L85" t="s">
        <v>18</v>
      </c>
      <c r="M85" t="s">
        <v>19</v>
      </c>
      <c r="N85" s="9">
        <v>5.1013698630136988</v>
      </c>
      <c r="O85" t="s">
        <v>20</v>
      </c>
    </row>
    <row r="86" spans="3:15" x14ac:dyDescent="0.25">
      <c r="C86" t="s">
        <v>380</v>
      </c>
      <c r="D86" t="s">
        <v>381</v>
      </c>
      <c r="E86" t="s">
        <v>382</v>
      </c>
      <c r="F86" t="s">
        <v>24</v>
      </c>
      <c r="G86" t="s">
        <v>124</v>
      </c>
      <c r="H86" s="5">
        <v>89829.33</v>
      </c>
      <c r="I86" t="s">
        <v>26</v>
      </c>
      <c r="J86" s="6">
        <v>43794</v>
      </c>
      <c r="K86">
        <v>1</v>
      </c>
      <c r="L86" t="s">
        <v>76</v>
      </c>
      <c r="M86" t="s">
        <v>84</v>
      </c>
      <c r="N86" s="9">
        <v>4.5753424657534243</v>
      </c>
      <c r="O86" t="s">
        <v>20</v>
      </c>
    </row>
    <row r="87" spans="3:15" x14ac:dyDescent="0.25">
      <c r="C87" t="s">
        <v>118</v>
      </c>
      <c r="D87" t="s">
        <v>119</v>
      </c>
      <c r="E87" t="s">
        <v>120</v>
      </c>
      <c r="F87" t="s">
        <v>24</v>
      </c>
      <c r="G87" t="s">
        <v>32</v>
      </c>
      <c r="H87" s="5">
        <v>89690.38</v>
      </c>
      <c r="I87" t="s">
        <v>26</v>
      </c>
      <c r="J87" s="6">
        <v>43206</v>
      </c>
      <c r="K87">
        <v>1</v>
      </c>
      <c r="L87" t="s">
        <v>18</v>
      </c>
      <c r="M87" t="s">
        <v>45</v>
      </c>
      <c r="N87" s="9">
        <v>6.1863013698630134</v>
      </c>
      <c r="O87" t="s">
        <v>20</v>
      </c>
    </row>
    <row r="88" spans="3:15" x14ac:dyDescent="0.25">
      <c r="C88" t="s">
        <v>365</v>
      </c>
      <c r="D88" t="s">
        <v>366</v>
      </c>
      <c r="E88" t="s">
        <v>367</v>
      </c>
      <c r="F88" t="s">
        <v>24</v>
      </c>
      <c r="G88" t="s">
        <v>32</v>
      </c>
      <c r="H88" s="5">
        <v>89690.38</v>
      </c>
      <c r="I88" t="s">
        <v>26</v>
      </c>
      <c r="J88" s="6">
        <v>43213</v>
      </c>
      <c r="K88">
        <v>1</v>
      </c>
      <c r="L88" t="s">
        <v>18</v>
      </c>
      <c r="M88" t="s">
        <v>41</v>
      </c>
      <c r="N88" s="9">
        <v>6.1671232876712327</v>
      </c>
      <c r="O88" t="s">
        <v>20</v>
      </c>
    </row>
    <row r="89" spans="3:15" x14ac:dyDescent="0.25">
      <c r="C89" t="s">
        <v>451</v>
      </c>
      <c r="D89" t="s">
        <v>452</v>
      </c>
      <c r="E89" t="s">
        <v>453</v>
      </c>
      <c r="F89" t="s">
        <v>15</v>
      </c>
      <c r="G89" t="s">
        <v>54</v>
      </c>
      <c r="H89" s="5">
        <v>89605.13</v>
      </c>
      <c r="I89" t="s">
        <v>26</v>
      </c>
      <c r="J89" s="6">
        <v>43258</v>
      </c>
      <c r="K89">
        <v>1</v>
      </c>
      <c r="L89" t="s">
        <v>18</v>
      </c>
      <c r="M89" t="s">
        <v>27</v>
      </c>
      <c r="N89" s="9">
        <v>6.043835616438356</v>
      </c>
      <c r="O89" t="s">
        <v>20</v>
      </c>
    </row>
    <row r="90" spans="3:15" x14ac:dyDescent="0.25">
      <c r="C90" t="s">
        <v>422</v>
      </c>
      <c r="D90" t="s">
        <v>423</v>
      </c>
      <c r="E90" t="s">
        <v>424</v>
      </c>
      <c r="F90" t="s">
        <v>15</v>
      </c>
      <c r="G90" t="s">
        <v>32</v>
      </c>
      <c r="H90" s="5">
        <v>88689.09</v>
      </c>
      <c r="I90" t="s">
        <v>26</v>
      </c>
      <c r="J90" s="6">
        <v>43740</v>
      </c>
      <c r="K90">
        <v>1</v>
      </c>
      <c r="L90" t="s">
        <v>18</v>
      </c>
      <c r="M90" t="s">
        <v>27</v>
      </c>
      <c r="N90" s="9">
        <v>4.7232876712328764</v>
      </c>
      <c r="O90" t="s">
        <v>20</v>
      </c>
    </row>
    <row r="91" spans="3:15" x14ac:dyDescent="0.25">
      <c r="C91" t="s">
        <v>386</v>
      </c>
      <c r="D91" t="s">
        <v>387</v>
      </c>
      <c r="E91" t="s">
        <v>388</v>
      </c>
      <c r="F91" t="s">
        <v>15</v>
      </c>
      <c r="G91" t="s">
        <v>25</v>
      </c>
      <c r="H91" s="5">
        <v>88511.17</v>
      </c>
      <c r="I91" t="s">
        <v>26</v>
      </c>
      <c r="J91" s="6">
        <v>43950</v>
      </c>
      <c r="K91">
        <v>1</v>
      </c>
      <c r="L91" t="s">
        <v>18</v>
      </c>
      <c r="M91" t="s">
        <v>72</v>
      </c>
      <c r="N91" s="9">
        <v>4.1479452054794521</v>
      </c>
      <c r="O91" t="s">
        <v>20</v>
      </c>
    </row>
    <row r="92" spans="3:15" x14ac:dyDescent="0.25">
      <c r="C92" t="s">
        <v>487</v>
      </c>
      <c r="D92" t="s">
        <v>488</v>
      </c>
      <c r="E92" t="s">
        <v>489</v>
      </c>
      <c r="F92" t="s">
        <v>24</v>
      </c>
      <c r="G92" t="s">
        <v>16</v>
      </c>
      <c r="H92" s="5">
        <v>88425.08</v>
      </c>
      <c r="I92" t="s">
        <v>26</v>
      </c>
      <c r="J92" s="6">
        <v>43662</v>
      </c>
      <c r="K92">
        <v>1</v>
      </c>
      <c r="L92" t="s">
        <v>18</v>
      </c>
      <c r="M92" t="s">
        <v>41</v>
      </c>
      <c r="N92" s="9">
        <v>4.9369863013698634</v>
      </c>
      <c r="O92" t="s">
        <v>20</v>
      </c>
    </row>
    <row r="93" spans="3:15" x14ac:dyDescent="0.25">
      <c r="C93" t="s">
        <v>404</v>
      </c>
      <c r="D93" t="s">
        <v>405</v>
      </c>
      <c r="E93" t="s">
        <v>406</v>
      </c>
      <c r="F93" t="s">
        <v>24</v>
      </c>
      <c r="G93" t="s">
        <v>50</v>
      </c>
      <c r="H93" s="5">
        <v>88034.67</v>
      </c>
      <c r="I93" t="s">
        <v>26</v>
      </c>
      <c r="J93" s="6">
        <v>43669</v>
      </c>
      <c r="K93">
        <v>1</v>
      </c>
      <c r="L93" t="s">
        <v>18</v>
      </c>
      <c r="M93" t="s">
        <v>19</v>
      </c>
      <c r="N93" s="9">
        <v>4.9178082191780819</v>
      </c>
      <c r="O93" t="s">
        <v>20</v>
      </c>
    </row>
    <row r="94" spans="3:15" x14ac:dyDescent="0.25">
      <c r="C94" t="s">
        <v>288</v>
      </c>
      <c r="D94" t="s">
        <v>289</v>
      </c>
      <c r="E94" t="s">
        <v>290</v>
      </c>
      <c r="F94" t="s">
        <v>24</v>
      </c>
      <c r="G94" t="s">
        <v>25</v>
      </c>
      <c r="H94" s="5">
        <v>86558.58</v>
      </c>
      <c r="I94" t="s">
        <v>26</v>
      </c>
      <c r="J94" s="6">
        <v>43887</v>
      </c>
      <c r="K94">
        <v>1</v>
      </c>
      <c r="L94" t="s">
        <v>37</v>
      </c>
      <c r="M94" t="s">
        <v>19</v>
      </c>
      <c r="N94" s="9">
        <v>4.3205479452054796</v>
      </c>
      <c r="O94" t="s">
        <v>20</v>
      </c>
    </row>
    <row r="95" spans="3:15" x14ac:dyDescent="0.25">
      <c r="C95" t="s">
        <v>162</v>
      </c>
      <c r="D95" t="s">
        <v>163</v>
      </c>
      <c r="E95" t="s">
        <v>164</v>
      </c>
      <c r="F95" t="s">
        <v>15</v>
      </c>
      <c r="G95" t="s">
        <v>97</v>
      </c>
      <c r="H95" s="5">
        <v>86556.96</v>
      </c>
      <c r="I95" t="s">
        <v>26</v>
      </c>
      <c r="J95" s="6">
        <v>44104</v>
      </c>
      <c r="K95">
        <v>1</v>
      </c>
      <c r="L95" t="s">
        <v>18</v>
      </c>
      <c r="M95" t="s">
        <v>41</v>
      </c>
      <c r="N95" s="9">
        <v>3.7260273972602738</v>
      </c>
      <c r="O95" t="s">
        <v>20</v>
      </c>
    </row>
    <row r="96" spans="3:15" x14ac:dyDescent="0.25">
      <c r="C96" t="s">
        <v>498</v>
      </c>
      <c r="D96" t="s">
        <v>499</v>
      </c>
      <c r="E96" t="s">
        <v>500</v>
      </c>
      <c r="F96" t="s">
        <v>24</v>
      </c>
      <c r="G96" t="s">
        <v>25</v>
      </c>
      <c r="H96" s="5">
        <v>86233.83</v>
      </c>
      <c r="I96" t="s">
        <v>26</v>
      </c>
      <c r="J96" s="6">
        <v>43706</v>
      </c>
      <c r="K96">
        <v>1</v>
      </c>
      <c r="L96" t="s">
        <v>37</v>
      </c>
      <c r="M96" t="s">
        <v>84</v>
      </c>
      <c r="N96" s="9">
        <v>4.816438356164384</v>
      </c>
      <c r="O96" t="s">
        <v>20</v>
      </c>
    </row>
    <row r="97" spans="3:15" x14ac:dyDescent="0.25">
      <c r="C97" t="s">
        <v>510</v>
      </c>
      <c r="D97" t="s">
        <v>511</v>
      </c>
      <c r="E97" t="s">
        <v>512</v>
      </c>
      <c r="F97" t="s">
        <v>24</v>
      </c>
      <c r="G97" t="s">
        <v>36</v>
      </c>
      <c r="H97" s="5">
        <v>86010.54</v>
      </c>
      <c r="I97" t="s">
        <v>26</v>
      </c>
      <c r="J97" s="6">
        <v>43164</v>
      </c>
      <c r="K97">
        <v>1</v>
      </c>
      <c r="L97" t="s">
        <v>18</v>
      </c>
      <c r="M97" t="s">
        <v>84</v>
      </c>
      <c r="N97" s="9">
        <v>6.3013698630136989</v>
      </c>
      <c r="O97" t="s">
        <v>20</v>
      </c>
    </row>
    <row r="98" spans="3:15" x14ac:dyDescent="0.25">
      <c r="C98" t="s">
        <v>246</v>
      </c>
      <c r="D98" t="s">
        <v>247</v>
      </c>
      <c r="E98" t="s">
        <v>248</v>
      </c>
      <c r="F98" t="s">
        <v>15</v>
      </c>
      <c r="G98" t="s">
        <v>25</v>
      </c>
      <c r="H98" s="5">
        <v>85918.61</v>
      </c>
      <c r="I98" t="s">
        <v>26</v>
      </c>
      <c r="J98" s="6">
        <v>43136</v>
      </c>
      <c r="K98">
        <v>1</v>
      </c>
      <c r="L98" t="s">
        <v>18</v>
      </c>
      <c r="M98" t="s">
        <v>72</v>
      </c>
      <c r="N98" s="9">
        <v>6.3780821917808215</v>
      </c>
      <c r="O98" t="s">
        <v>20</v>
      </c>
    </row>
    <row r="99" spans="3:15" x14ac:dyDescent="0.25">
      <c r="C99" t="s">
        <v>204</v>
      </c>
      <c r="D99" t="s">
        <v>205</v>
      </c>
      <c r="E99" t="s">
        <v>206</v>
      </c>
      <c r="F99" t="s">
        <v>15</v>
      </c>
      <c r="G99" t="s">
        <v>58</v>
      </c>
      <c r="H99" s="5">
        <v>85455.53</v>
      </c>
      <c r="I99" t="s">
        <v>26</v>
      </c>
      <c r="J99" s="6">
        <v>43839</v>
      </c>
      <c r="K99">
        <v>1</v>
      </c>
      <c r="L99" t="s">
        <v>18</v>
      </c>
      <c r="M99" t="s">
        <v>45</v>
      </c>
      <c r="N99" s="9">
        <v>4.4520547945205475</v>
      </c>
      <c r="O99" t="s">
        <v>20</v>
      </c>
    </row>
    <row r="100" spans="3:15" x14ac:dyDescent="0.25">
      <c r="C100" t="s">
        <v>704</v>
      </c>
      <c r="D100" t="s">
        <v>705</v>
      </c>
      <c r="E100" t="s">
        <v>706</v>
      </c>
      <c r="F100" t="s">
        <v>24</v>
      </c>
      <c r="G100" t="s">
        <v>97</v>
      </c>
      <c r="H100" s="5">
        <v>85264.38</v>
      </c>
      <c r="I100" t="s">
        <v>26</v>
      </c>
      <c r="J100" s="6">
        <v>43220</v>
      </c>
      <c r="K100">
        <v>1</v>
      </c>
      <c r="L100" t="s">
        <v>18</v>
      </c>
      <c r="M100" t="s">
        <v>84</v>
      </c>
      <c r="N100" s="9">
        <v>6.1479452054794521</v>
      </c>
      <c r="O100" t="s">
        <v>20</v>
      </c>
    </row>
    <row r="101" spans="3:15" x14ac:dyDescent="0.25">
      <c r="C101" t="s">
        <v>231</v>
      </c>
      <c r="D101" t="s">
        <v>232</v>
      </c>
      <c r="E101" t="s">
        <v>233</v>
      </c>
      <c r="F101" t="s">
        <v>24</v>
      </c>
      <c r="G101" t="s">
        <v>105</v>
      </c>
      <c r="H101" s="5">
        <v>84762.76</v>
      </c>
      <c r="I101" t="s">
        <v>26</v>
      </c>
      <c r="J101" s="6">
        <v>43332</v>
      </c>
      <c r="K101">
        <v>1</v>
      </c>
      <c r="L101" t="s">
        <v>18</v>
      </c>
      <c r="M101" t="s">
        <v>41</v>
      </c>
      <c r="N101" s="9">
        <v>5.8410958904109593</v>
      </c>
      <c r="O101" t="s">
        <v>20</v>
      </c>
    </row>
    <row r="102" spans="3:15" x14ac:dyDescent="0.25">
      <c r="C102" t="s">
        <v>560</v>
      </c>
      <c r="D102" t="s">
        <v>561</v>
      </c>
      <c r="E102" t="s">
        <v>562</v>
      </c>
      <c r="F102" t="s">
        <v>24</v>
      </c>
      <c r="G102" t="s">
        <v>36</v>
      </c>
      <c r="H102" s="5">
        <v>84745.93</v>
      </c>
      <c r="I102" t="s">
        <v>26</v>
      </c>
      <c r="J102" s="6">
        <v>43707</v>
      </c>
      <c r="K102">
        <v>1</v>
      </c>
      <c r="L102" t="s">
        <v>18</v>
      </c>
      <c r="M102" t="s">
        <v>45</v>
      </c>
      <c r="N102" s="9">
        <v>4.8136986301369866</v>
      </c>
      <c r="O102" t="s">
        <v>20</v>
      </c>
    </row>
    <row r="103" spans="3:15" x14ac:dyDescent="0.25">
      <c r="C103" t="s">
        <v>698</v>
      </c>
      <c r="D103" t="s">
        <v>699</v>
      </c>
      <c r="E103" t="s">
        <v>700</v>
      </c>
      <c r="F103" t="s">
        <v>15</v>
      </c>
      <c r="G103" t="s">
        <v>32</v>
      </c>
      <c r="H103" s="5">
        <v>84742.86</v>
      </c>
      <c r="I103" t="s">
        <v>26</v>
      </c>
      <c r="J103" s="6">
        <v>44098</v>
      </c>
      <c r="K103">
        <v>1</v>
      </c>
      <c r="L103" t="s">
        <v>18</v>
      </c>
      <c r="M103" t="s">
        <v>77</v>
      </c>
      <c r="N103" s="9">
        <v>3.7424657534246575</v>
      </c>
      <c r="O103" t="s">
        <v>20</v>
      </c>
    </row>
    <row r="104" spans="3:15" x14ac:dyDescent="0.25">
      <c r="C104" t="s">
        <v>478</v>
      </c>
      <c r="D104" t="s">
        <v>479</v>
      </c>
      <c r="E104" t="s">
        <v>480</v>
      </c>
      <c r="F104" t="s">
        <v>24</v>
      </c>
      <c r="G104" t="s">
        <v>105</v>
      </c>
      <c r="H104" s="5">
        <v>84598.88</v>
      </c>
      <c r="I104" t="s">
        <v>26</v>
      </c>
      <c r="J104" s="6">
        <v>44116</v>
      </c>
      <c r="K104">
        <v>1</v>
      </c>
      <c r="L104" t="s">
        <v>37</v>
      </c>
      <c r="M104" t="s">
        <v>27</v>
      </c>
      <c r="N104" s="9">
        <v>3.6931506849315068</v>
      </c>
      <c r="O104" t="s">
        <v>20</v>
      </c>
    </row>
    <row r="105" spans="3:15" x14ac:dyDescent="0.25">
      <c r="C105" t="s">
        <v>478</v>
      </c>
      <c r="D105" t="s">
        <v>479</v>
      </c>
      <c r="E105" t="s">
        <v>480</v>
      </c>
      <c r="F105" t="s">
        <v>24</v>
      </c>
      <c r="G105" t="s">
        <v>105</v>
      </c>
      <c r="H105" s="5">
        <v>84598.88</v>
      </c>
      <c r="I105" t="s">
        <v>26</v>
      </c>
      <c r="J105" s="6">
        <v>44116</v>
      </c>
      <c r="K105">
        <v>1</v>
      </c>
      <c r="L105" t="s">
        <v>37</v>
      </c>
      <c r="M105" t="s">
        <v>27</v>
      </c>
      <c r="N105" s="9">
        <v>3.6931506849315068</v>
      </c>
      <c r="O105" t="s">
        <v>20</v>
      </c>
    </row>
    <row r="106" spans="3:15" x14ac:dyDescent="0.25">
      <c r="C106" t="s">
        <v>291</v>
      </c>
      <c r="D106" t="s">
        <v>292</v>
      </c>
      <c r="E106" t="s">
        <v>293</v>
      </c>
      <c r="F106" t="s">
        <v>24</v>
      </c>
      <c r="G106" t="s">
        <v>58</v>
      </c>
      <c r="H106" s="5">
        <v>84309.95</v>
      </c>
      <c r="I106" t="s">
        <v>26</v>
      </c>
      <c r="J106" s="6">
        <v>44501</v>
      </c>
      <c r="K106">
        <v>1</v>
      </c>
      <c r="L106" t="s">
        <v>18</v>
      </c>
      <c r="M106" t="s">
        <v>19</v>
      </c>
      <c r="N106" s="9">
        <v>2.6383561643835618</v>
      </c>
      <c r="O106" t="s">
        <v>20</v>
      </c>
    </row>
    <row r="107" spans="3:15" x14ac:dyDescent="0.25">
      <c r="C107" t="s">
        <v>267</v>
      </c>
      <c r="D107" t="s">
        <v>268</v>
      </c>
      <c r="E107" t="s">
        <v>269</v>
      </c>
      <c r="F107" t="s">
        <v>15</v>
      </c>
      <c r="G107" t="s">
        <v>97</v>
      </c>
      <c r="H107" s="5">
        <v>83396.5</v>
      </c>
      <c r="I107" t="s">
        <v>26</v>
      </c>
      <c r="J107" s="6">
        <v>44285</v>
      </c>
      <c r="K107">
        <v>1</v>
      </c>
      <c r="L107" t="s">
        <v>76</v>
      </c>
      <c r="M107" t="s">
        <v>77</v>
      </c>
      <c r="N107" s="9">
        <v>3.2301369863013698</v>
      </c>
      <c r="O107" t="s">
        <v>20</v>
      </c>
    </row>
    <row r="108" spans="3:15" x14ac:dyDescent="0.25">
      <c r="C108" t="s">
        <v>261</v>
      </c>
      <c r="D108" t="s">
        <v>262</v>
      </c>
      <c r="E108" t="s">
        <v>263</v>
      </c>
      <c r="F108" t="s">
        <v>15</v>
      </c>
      <c r="G108" t="s">
        <v>105</v>
      </c>
      <c r="H108" s="5">
        <v>83191.95</v>
      </c>
      <c r="I108" t="s">
        <v>26</v>
      </c>
      <c r="J108" s="6">
        <v>43700</v>
      </c>
      <c r="K108">
        <v>0.6</v>
      </c>
      <c r="L108" t="s">
        <v>76</v>
      </c>
      <c r="M108" t="s">
        <v>19</v>
      </c>
      <c r="N108" s="9">
        <v>4.8328767123287673</v>
      </c>
      <c r="O108" t="s">
        <v>28</v>
      </c>
    </row>
    <row r="109" spans="3:15" x14ac:dyDescent="0.25">
      <c r="C109" t="s">
        <v>584</v>
      </c>
      <c r="D109" t="s">
        <v>585</v>
      </c>
      <c r="E109" t="s">
        <v>586</v>
      </c>
      <c r="F109" t="s">
        <v>15</v>
      </c>
      <c r="G109" t="s">
        <v>16</v>
      </c>
      <c r="H109" s="5">
        <v>82239.53</v>
      </c>
      <c r="I109" t="s">
        <v>26</v>
      </c>
      <c r="J109" s="6">
        <v>43846</v>
      </c>
      <c r="K109">
        <v>1</v>
      </c>
      <c r="L109" t="s">
        <v>76</v>
      </c>
      <c r="M109" t="s">
        <v>72</v>
      </c>
      <c r="N109" s="9">
        <v>4.4328767123287669</v>
      </c>
      <c r="O109" t="s">
        <v>20</v>
      </c>
    </row>
    <row r="110" spans="3:15" x14ac:dyDescent="0.25">
      <c r="C110" t="s">
        <v>445</v>
      </c>
      <c r="D110" t="s">
        <v>446</v>
      </c>
      <c r="E110" t="s">
        <v>447</v>
      </c>
      <c r="F110" t="s">
        <v>24</v>
      </c>
      <c r="G110" t="s">
        <v>32</v>
      </c>
      <c r="H110" s="5">
        <v>81897.789999999994</v>
      </c>
      <c r="I110" t="s">
        <v>26</v>
      </c>
      <c r="J110" s="6">
        <v>43146</v>
      </c>
      <c r="K110">
        <v>1</v>
      </c>
      <c r="L110" t="s">
        <v>18</v>
      </c>
      <c r="M110" t="s">
        <v>77</v>
      </c>
      <c r="N110" s="9">
        <v>6.3506849315068497</v>
      </c>
      <c r="O110" t="s">
        <v>20</v>
      </c>
    </row>
    <row r="111" spans="3:15" x14ac:dyDescent="0.25">
      <c r="C111" t="s">
        <v>701</v>
      </c>
      <c r="D111" t="s">
        <v>702</v>
      </c>
      <c r="E111" t="s">
        <v>703</v>
      </c>
      <c r="F111" t="s">
        <v>15</v>
      </c>
      <c r="G111" t="s">
        <v>105</v>
      </c>
      <c r="H111" s="5">
        <v>80772.92</v>
      </c>
      <c r="I111" t="s">
        <v>26</v>
      </c>
      <c r="J111" s="6">
        <v>44137</v>
      </c>
      <c r="K111">
        <v>1</v>
      </c>
      <c r="L111" t="s">
        <v>76</v>
      </c>
      <c r="M111" t="s">
        <v>19</v>
      </c>
      <c r="N111" s="9">
        <v>3.6356164383561644</v>
      </c>
      <c r="O111" t="s">
        <v>20</v>
      </c>
    </row>
    <row r="112" spans="3:15" x14ac:dyDescent="0.25">
      <c r="C112" t="s">
        <v>608</v>
      </c>
      <c r="D112" t="s">
        <v>283</v>
      </c>
      <c r="E112" t="s">
        <v>284</v>
      </c>
      <c r="F112" t="s">
        <v>24</v>
      </c>
      <c r="G112" t="s">
        <v>802</v>
      </c>
      <c r="H112" s="5">
        <v>80695.740000000005</v>
      </c>
      <c r="I112" t="s">
        <v>26</v>
      </c>
      <c r="J112" s="6">
        <v>43360</v>
      </c>
      <c r="K112">
        <v>1</v>
      </c>
      <c r="L112" t="s">
        <v>18</v>
      </c>
      <c r="M112" t="s">
        <v>72</v>
      </c>
      <c r="N112" s="9">
        <v>5.7643835616438359</v>
      </c>
      <c r="O112" t="s">
        <v>20</v>
      </c>
    </row>
    <row r="113" spans="3:15" x14ac:dyDescent="0.25">
      <c r="C113" t="s">
        <v>608</v>
      </c>
      <c r="D113" t="s">
        <v>283</v>
      </c>
      <c r="E113" t="s">
        <v>284</v>
      </c>
      <c r="F113" t="s">
        <v>24</v>
      </c>
      <c r="G113" t="s">
        <v>25</v>
      </c>
      <c r="H113" s="5">
        <v>80695.740000000005</v>
      </c>
      <c r="I113" t="s">
        <v>26</v>
      </c>
      <c r="J113" s="6">
        <v>43360</v>
      </c>
      <c r="K113">
        <v>1</v>
      </c>
      <c r="L113" t="s">
        <v>18</v>
      </c>
      <c r="M113" t="s">
        <v>72</v>
      </c>
      <c r="N113" s="9">
        <v>5.7643835616438359</v>
      </c>
      <c r="O113" t="s">
        <v>20</v>
      </c>
    </row>
    <row r="114" spans="3:15" x14ac:dyDescent="0.25">
      <c r="C114" t="s">
        <v>282</v>
      </c>
      <c r="D114" t="s">
        <v>283</v>
      </c>
      <c r="E114" t="s">
        <v>284</v>
      </c>
      <c r="F114" t="s">
        <v>24</v>
      </c>
      <c r="G114" t="s">
        <v>25</v>
      </c>
      <c r="H114" s="5">
        <v>80695.740000000005</v>
      </c>
      <c r="I114" t="s">
        <v>26</v>
      </c>
      <c r="J114" s="6">
        <v>43787</v>
      </c>
      <c r="K114">
        <v>0.8</v>
      </c>
      <c r="L114" t="s">
        <v>18</v>
      </c>
      <c r="M114" t="s">
        <v>72</v>
      </c>
      <c r="N114" s="9">
        <v>4.5945205479452058</v>
      </c>
      <c r="O114" t="s">
        <v>28</v>
      </c>
    </row>
    <row r="115" spans="3:15" x14ac:dyDescent="0.25">
      <c r="C115" t="s">
        <v>621</v>
      </c>
      <c r="D115" t="s">
        <v>622</v>
      </c>
      <c r="E115" t="s">
        <v>623</v>
      </c>
      <c r="F115" t="s">
        <v>15</v>
      </c>
      <c r="G115" t="s">
        <v>124</v>
      </c>
      <c r="H115" s="5">
        <v>80360.41</v>
      </c>
      <c r="I115" t="s">
        <v>26</v>
      </c>
      <c r="J115" s="6">
        <v>44167</v>
      </c>
      <c r="K115">
        <v>1</v>
      </c>
      <c r="L115" t="s">
        <v>18</v>
      </c>
      <c r="M115" t="s">
        <v>19</v>
      </c>
      <c r="N115" s="9">
        <v>3.5534246575342467</v>
      </c>
      <c r="O115" t="s">
        <v>20</v>
      </c>
    </row>
    <row r="116" spans="3:15" x14ac:dyDescent="0.25">
      <c r="C116" t="s">
        <v>168</v>
      </c>
      <c r="D116" t="s">
        <v>169</v>
      </c>
      <c r="E116" t="s">
        <v>170</v>
      </c>
      <c r="F116" t="s">
        <v>15</v>
      </c>
      <c r="G116" t="s">
        <v>25</v>
      </c>
      <c r="H116" s="5">
        <v>80169.42</v>
      </c>
      <c r="I116" t="s">
        <v>26</v>
      </c>
      <c r="J116" s="6">
        <v>44053</v>
      </c>
      <c r="K116">
        <v>1</v>
      </c>
      <c r="L116" t="s">
        <v>18</v>
      </c>
      <c r="M116" t="s">
        <v>77</v>
      </c>
      <c r="N116" s="9">
        <v>3.8657534246575342</v>
      </c>
      <c r="O116" t="s">
        <v>20</v>
      </c>
    </row>
    <row r="117" spans="3:15" x14ac:dyDescent="0.25">
      <c r="C117" t="s">
        <v>168</v>
      </c>
      <c r="D117" t="s">
        <v>169</v>
      </c>
      <c r="E117" t="s">
        <v>170</v>
      </c>
      <c r="F117" t="s">
        <v>15</v>
      </c>
      <c r="G117" t="s">
        <v>25</v>
      </c>
      <c r="H117" s="5">
        <v>80169.42</v>
      </c>
      <c r="I117" t="s">
        <v>26</v>
      </c>
      <c r="J117" s="6">
        <v>44053</v>
      </c>
      <c r="K117">
        <v>1</v>
      </c>
      <c r="L117" t="s">
        <v>18</v>
      </c>
      <c r="M117" t="s">
        <v>77</v>
      </c>
      <c r="N117" s="9">
        <v>3.8657534246575342</v>
      </c>
      <c r="O117" t="s">
        <v>20</v>
      </c>
    </row>
    <row r="118" spans="3:15" x14ac:dyDescent="0.25">
      <c r="C118" t="s">
        <v>195</v>
      </c>
      <c r="D118" t="s">
        <v>196</v>
      </c>
      <c r="E118" t="s">
        <v>197</v>
      </c>
      <c r="F118" t="s">
        <v>15</v>
      </c>
      <c r="G118" t="s">
        <v>36</v>
      </c>
      <c r="H118" s="5">
        <v>79567.69</v>
      </c>
      <c r="I118" t="s">
        <v>26</v>
      </c>
      <c r="J118" s="6">
        <v>43272</v>
      </c>
      <c r="K118">
        <v>1</v>
      </c>
      <c r="L118" t="s">
        <v>37</v>
      </c>
      <c r="M118" t="s">
        <v>84</v>
      </c>
      <c r="N118" s="9">
        <v>6.0054794520547947</v>
      </c>
      <c r="O118" t="s">
        <v>20</v>
      </c>
    </row>
    <row r="119" spans="3:15" x14ac:dyDescent="0.25">
      <c r="C119" t="s">
        <v>112</v>
      </c>
      <c r="D119" t="s">
        <v>113</v>
      </c>
      <c r="E119" t="s">
        <v>114</v>
      </c>
      <c r="F119" t="s">
        <v>49</v>
      </c>
      <c r="G119" t="s">
        <v>36</v>
      </c>
      <c r="H119" s="5">
        <v>78840.23</v>
      </c>
      <c r="I119" t="s">
        <v>26</v>
      </c>
      <c r="J119" s="6">
        <v>43633</v>
      </c>
      <c r="K119">
        <v>1</v>
      </c>
      <c r="L119" t="s">
        <v>76</v>
      </c>
      <c r="M119" t="s">
        <v>19</v>
      </c>
      <c r="N119" s="9">
        <v>5.0164383561643833</v>
      </c>
      <c r="O119" t="s">
        <v>20</v>
      </c>
    </row>
    <row r="120" spans="3:15" x14ac:dyDescent="0.25">
      <c r="C120" t="s">
        <v>569</v>
      </c>
      <c r="D120" t="s">
        <v>570</v>
      </c>
      <c r="E120" t="s">
        <v>571</v>
      </c>
      <c r="F120" t="s">
        <v>15</v>
      </c>
      <c r="G120" t="s">
        <v>58</v>
      </c>
      <c r="H120" s="5">
        <v>78705.929999999993</v>
      </c>
      <c r="I120" t="s">
        <v>26</v>
      </c>
      <c r="J120" s="6">
        <v>43409</v>
      </c>
      <c r="K120">
        <v>1</v>
      </c>
      <c r="L120" t="s">
        <v>37</v>
      </c>
      <c r="M120" t="s">
        <v>27</v>
      </c>
      <c r="N120" s="9">
        <v>5.6301369863013697</v>
      </c>
      <c r="O120" t="s">
        <v>20</v>
      </c>
    </row>
    <row r="121" spans="3:15" x14ac:dyDescent="0.25">
      <c r="C121" t="s">
        <v>545</v>
      </c>
      <c r="D121" t="s">
        <v>546</v>
      </c>
      <c r="E121" t="s">
        <v>547</v>
      </c>
      <c r="F121" t="s">
        <v>15</v>
      </c>
      <c r="G121" t="s">
        <v>16</v>
      </c>
      <c r="H121" s="5">
        <v>78443.78</v>
      </c>
      <c r="I121" t="s">
        <v>26</v>
      </c>
      <c r="J121" s="6">
        <v>43599</v>
      </c>
      <c r="K121">
        <v>1</v>
      </c>
      <c r="L121" t="s">
        <v>37</v>
      </c>
      <c r="M121" t="s">
        <v>41</v>
      </c>
      <c r="N121" s="9">
        <v>5.1095890410958908</v>
      </c>
      <c r="O121" t="s">
        <v>20</v>
      </c>
    </row>
    <row r="122" spans="3:15" x14ac:dyDescent="0.25">
      <c r="C122" t="s">
        <v>707</v>
      </c>
      <c r="D122" t="s">
        <v>708</v>
      </c>
      <c r="E122" t="s">
        <v>709</v>
      </c>
      <c r="F122" t="s">
        <v>24</v>
      </c>
      <c r="G122" t="s">
        <v>16</v>
      </c>
      <c r="H122" s="5">
        <v>78378.2</v>
      </c>
      <c r="I122" t="s">
        <v>26</v>
      </c>
      <c r="J122" s="6">
        <v>43465</v>
      </c>
      <c r="K122">
        <v>0.4</v>
      </c>
      <c r="L122" t="s">
        <v>18</v>
      </c>
      <c r="M122" t="s">
        <v>19</v>
      </c>
      <c r="N122" s="9">
        <v>5.4767123287671229</v>
      </c>
      <c r="O122" t="s">
        <v>28</v>
      </c>
    </row>
    <row r="123" spans="3:15" x14ac:dyDescent="0.25">
      <c r="C123" t="s">
        <v>735</v>
      </c>
      <c r="D123" t="s">
        <v>736</v>
      </c>
      <c r="E123" t="s">
        <v>737</v>
      </c>
      <c r="F123" t="s">
        <v>24</v>
      </c>
      <c r="G123" t="s">
        <v>105</v>
      </c>
      <c r="H123" s="5">
        <v>78020.39</v>
      </c>
      <c r="I123" t="s">
        <v>26</v>
      </c>
      <c r="J123" s="6">
        <v>43899</v>
      </c>
      <c r="K123">
        <v>1</v>
      </c>
      <c r="L123" t="s">
        <v>18</v>
      </c>
      <c r="M123" t="s">
        <v>19</v>
      </c>
      <c r="N123" s="9">
        <v>4.2876712328767121</v>
      </c>
      <c r="O123" t="s">
        <v>20</v>
      </c>
    </row>
    <row r="124" spans="3:15" x14ac:dyDescent="0.25">
      <c r="C124" t="s">
        <v>669</v>
      </c>
      <c r="D124" t="s">
        <v>670</v>
      </c>
      <c r="E124" t="s">
        <v>671</v>
      </c>
      <c r="F124" t="s">
        <v>15</v>
      </c>
      <c r="G124" t="s">
        <v>124</v>
      </c>
      <c r="H124" s="5">
        <v>77743.149999999994</v>
      </c>
      <c r="I124" t="s">
        <v>26</v>
      </c>
      <c r="J124" s="6">
        <v>43920</v>
      </c>
      <c r="K124">
        <v>1</v>
      </c>
      <c r="L124" t="s">
        <v>18</v>
      </c>
      <c r="M124" t="s">
        <v>84</v>
      </c>
      <c r="N124" s="9">
        <v>4.2301369863013702</v>
      </c>
      <c r="O124" t="s">
        <v>20</v>
      </c>
    </row>
    <row r="125" spans="3:15" x14ac:dyDescent="0.25">
      <c r="C125" t="s">
        <v>666</v>
      </c>
      <c r="D125" t="s">
        <v>667</v>
      </c>
      <c r="E125" t="s">
        <v>668</v>
      </c>
      <c r="F125" t="s">
        <v>15</v>
      </c>
      <c r="G125" t="s">
        <v>32</v>
      </c>
      <c r="H125" s="5">
        <v>77096.05</v>
      </c>
      <c r="I125" t="s">
        <v>26</v>
      </c>
      <c r="J125" s="6">
        <v>43217</v>
      </c>
      <c r="K125">
        <v>1</v>
      </c>
      <c r="L125" t="s">
        <v>18</v>
      </c>
      <c r="M125" t="s">
        <v>84</v>
      </c>
      <c r="N125" s="9">
        <v>6.1561643835616442</v>
      </c>
      <c r="O125" t="s">
        <v>20</v>
      </c>
    </row>
    <row r="126" spans="3:15" x14ac:dyDescent="0.25">
      <c r="C126" t="s">
        <v>624</v>
      </c>
      <c r="D126" t="s">
        <v>625</v>
      </c>
      <c r="E126" t="s">
        <v>626</v>
      </c>
      <c r="F126" t="s">
        <v>24</v>
      </c>
      <c r="G126" t="s">
        <v>105</v>
      </c>
      <c r="H126" s="5">
        <v>77045.440000000002</v>
      </c>
      <c r="I126" t="s">
        <v>26</v>
      </c>
      <c r="J126" s="6">
        <v>43636</v>
      </c>
      <c r="K126">
        <v>1</v>
      </c>
      <c r="L126" t="s">
        <v>18</v>
      </c>
      <c r="M126" t="s">
        <v>19</v>
      </c>
      <c r="N126" s="9">
        <v>5.0082191780821921</v>
      </c>
      <c r="O126" t="s">
        <v>20</v>
      </c>
    </row>
    <row r="127" spans="3:15" x14ac:dyDescent="0.25">
      <c r="C127" t="s">
        <v>324</v>
      </c>
      <c r="D127" t="s">
        <v>325</v>
      </c>
      <c r="E127" t="s">
        <v>326</v>
      </c>
      <c r="F127" t="s">
        <v>15</v>
      </c>
      <c r="G127" t="s">
        <v>54</v>
      </c>
      <c r="H127" s="5">
        <v>76932.600000000006</v>
      </c>
      <c r="I127" t="s">
        <v>26</v>
      </c>
      <c r="J127" s="6">
        <v>43493</v>
      </c>
      <c r="K127">
        <v>1</v>
      </c>
      <c r="L127" t="s">
        <v>18</v>
      </c>
      <c r="M127" t="s">
        <v>41</v>
      </c>
      <c r="N127" s="9">
        <v>5.4</v>
      </c>
      <c r="O127" t="s">
        <v>20</v>
      </c>
    </row>
    <row r="128" spans="3:15" x14ac:dyDescent="0.25">
      <c r="C128" t="s">
        <v>135</v>
      </c>
      <c r="D128" t="s">
        <v>136</v>
      </c>
      <c r="E128" t="s">
        <v>137</v>
      </c>
      <c r="F128" t="s">
        <v>15</v>
      </c>
      <c r="G128" t="s">
        <v>97</v>
      </c>
      <c r="H128" s="5">
        <v>76320.44</v>
      </c>
      <c r="I128" t="s">
        <v>26</v>
      </c>
      <c r="J128" s="6">
        <v>44383</v>
      </c>
      <c r="K128">
        <v>0.8</v>
      </c>
      <c r="L128" t="s">
        <v>76</v>
      </c>
      <c r="M128" t="s">
        <v>19</v>
      </c>
      <c r="N128" s="9">
        <v>2.9616438356164383</v>
      </c>
      <c r="O128" t="s">
        <v>28</v>
      </c>
    </row>
    <row r="129" spans="3:15" x14ac:dyDescent="0.25">
      <c r="C129" t="s">
        <v>398</v>
      </c>
      <c r="D129" t="s">
        <v>399</v>
      </c>
      <c r="E129" t="s">
        <v>400</v>
      </c>
      <c r="F129" t="s">
        <v>24</v>
      </c>
      <c r="G129" t="s">
        <v>101</v>
      </c>
      <c r="H129" s="5">
        <v>76303.820000000007</v>
      </c>
      <c r="I129" t="s">
        <v>26</v>
      </c>
      <c r="J129" s="6">
        <v>43458</v>
      </c>
      <c r="K129">
        <v>1</v>
      </c>
      <c r="L129" t="s">
        <v>37</v>
      </c>
      <c r="M129" t="s">
        <v>41</v>
      </c>
      <c r="N129" s="9">
        <v>5.4958904109589044</v>
      </c>
      <c r="O129" t="s">
        <v>20</v>
      </c>
    </row>
    <row r="130" spans="3:15" x14ac:dyDescent="0.25">
      <c r="C130" t="s">
        <v>398</v>
      </c>
      <c r="D130" t="s">
        <v>531</v>
      </c>
      <c r="E130" t="s">
        <v>532</v>
      </c>
      <c r="F130" t="s">
        <v>24</v>
      </c>
      <c r="G130" t="s">
        <v>101</v>
      </c>
      <c r="H130" s="5">
        <v>76303.820000000007</v>
      </c>
      <c r="I130" t="s">
        <v>26</v>
      </c>
      <c r="J130" s="6">
        <v>43458</v>
      </c>
      <c r="K130">
        <v>1</v>
      </c>
      <c r="L130" t="s">
        <v>37</v>
      </c>
      <c r="M130" t="s">
        <v>41</v>
      </c>
      <c r="N130" s="9">
        <v>5.4958904109589044</v>
      </c>
      <c r="O130" t="s">
        <v>20</v>
      </c>
    </row>
    <row r="131" spans="3:15" x14ac:dyDescent="0.25">
      <c r="C131" t="s">
        <v>342</v>
      </c>
      <c r="D131" t="s">
        <v>343</v>
      </c>
      <c r="E131" t="s">
        <v>344</v>
      </c>
      <c r="F131" t="s">
        <v>24</v>
      </c>
      <c r="G131" t="s">
        <v>50</v>
      </c>
      <c r="H131" s="5">
        <v>75974.990000000005</v>
      </c>
      <c r="I131" t="s">
        <v>26</v>
      </c>
      <c r="J131" s="6">
        <v>44172</v>
      </c>
      <c r="K131">
        <v>1</v>
      </c>
      <c r="L131" t="s">
        <v>18</v>
      </c>
      <c r="M131" t="s">
        <v>19</v>
      </c>
      <c r="N131" s="9">
        <v>3.5397260273972604</v>
      </c>
      <c r="O131" t="s">
        <v>20</v>
      </c>
    </row>
    <row r="132" spans="3:15" x14ac:dyDescent="0.25">
      <c r="C132" t="s">
        <v>312</v>
      </c>
      <c r="D132" t="s">
        <v>313</v>
      </c>
      <c r="E132" t="s">
        <v>314</v>
      </c>
      <c r="F132" t="s">
        <v>24</v>
      </c>
      <c r="G132" t="s">
        <v>131</v>
      </c>
      <c r="H132" s="5">
        <v>75733.740000000005</v>
      </c>
      <c r="I132" t="s">
        <v>26</v>
      </c>
      <c r="J132" s="6">
        <v>44382</v>
      </c>
      <c r="K132">
        <v>1</v>
      </c>
      <c r="L132" t="s">
        <v>18</v>
      </c>
      <c r="M132" t="s">
        <v>41</v>
      </c>
      <c r="N132" s="9">
        <v>2.9643835616438357</v>
      </c>
      <c r="O132" t="s">
        <v>20</v>
      </c>
    </row>
    <row r="133" spans="3:15" x14ac:dyDescent="0.25">
      <c r="C133" t="s">
        <v>285</v>
      </c>
      <c r="D133" t="s">
        <v>286</v>
      </c>
      <c r="E133" t="s">
        <v>287</v>
      </c>
      <c r="F133" t="s">
        <v>24</v>
      </c>
      <c r="G133" t="s">
        <v>124</v>
      </c>
      <c r="H133" s="5">
        <v>75475.929999999993</v>
      </c>
      <c r="I133" t="s">
        <v>26</v>
      </c>
      <c r="J133" s="6">
        <v>43794</v>
      </c>
      <c r="K133">
        <v>1</v>
      </c>
      <c r="L133" t="s">
        <v>18</v>
      </c>
      <c r="M133" t="s">
        <v>19</v>
      </c>
      <c r="N133" s="9">
        <v>4.5753424657534243</v>
      </c>
      <c r="O133" t="s">
        <v>20</v>
      </c>
    </row>
    <row r="134" spans="3:15" x14ac:dyDescent="0.25">
      <c r="C134" t="s">
        <v>419</v>
      </c>
      <c r="D134" t="s">
        <v>420</v>
      </c>
      <c r="E134" t="s">
        <v>421</v>
      </c>
      <c r="F134" t="s">
        <v>15</v>
      </c>
      <c r="G134" t="s">
        <v>124</v>
      </c>
      <c r="H134" s="5">
        <v>74924.649999999994</v>
      </c>
      <c r="I134" t="s">
        <v>26</v>
      </c>
      <c r="J134" s="6">
        <v>44239</v>
      </c>
      <c r="K134">
        <v>1</v>
      </c>
      <c r="L134" t="s">
        <v>18</v>
      </c>
      <c r="M134" t="s">
        <v>41</v>
      </c>
      <c r="N134" s="9">
        <v>3.3561643835616439</v>
      </c>
      <c r="O134" t="s">
        <v>20</v>
      </c>
    </row>
    <row r="135" spans="3:15" x14ac:dyDescent="0.25">
      <c r="C135" t="s">
        <v>55</v>
      </c>
      <c r="D135" t="s">
        <v>56</v>
      </c>
      <c r="E135" t="s">
        <v>57</v>
      </c>
      <c r="F135" t="s">
        <v>15</v>
      </c>
      <c r="G135" t="s">
        <v>58</v>
      </c>
      <c r="H135" s="5">
        <v>74279.009999999995</v>
      </c>
      <c r="I135" t="s">
        <v>26</v>
      </c>
      <c r="J135" s="6">
        <v>43466</v>
      </c>
      <c r="K135">
        <v>1</v>
      </c>
      <c r="L135" t="s">
        <v>18</v>
      </c>
      <c r="M135" t="s">
        <v>45</v>
      </c>
      <c r="N135" s="9">
        <v>5.4739726027397264</v>
      </c>
      <c r="O135" t="s">
        <v>20</v>
      </c>
    </row>
    <row r="136" spans="3:15" x14ac:dyDescent="0.25">
      <c r="C136" t="s">
        <v>539</v>
      </c>
      <c r="D136" t="s">
        <v>540</v>
      </c>
      <c r="E136" t="s">
        <v>541</v>
      </c>
      <c r="F136" t="s">
        <v>24</v>
      </c>
      <c r="G136" t="s">
        <v>97</v>
      </c>
      <c r="H136" s="5">
        <v>73488.679999999993</v>
      </c>
      <c r="I136" t="s">
        <v>26</v>
      </c>
      <c r="J136" s="6">
        <v>43570</v>
      </c>
      <c r="K136">
        <v>1</v>
      </c>
      <c r="L136" t="s">
        <v>37</v>
      </c>
      <c r="M136" t="s">
        <v>27</v>
      </c>
      <c r="N136" s="9">
        <v>5.1890410958904107</v>
      </c>
      <c r="O136" t="s">
        <v>20</v>
      </c>
    </row>
    <row r="137" spans="3:15" x14ac:dyDescent="0.25">
      <c r="C137" t="s">
        <v>138</v>
      </c>
      <c r="D137" t="s">
        <v>139</v>
      </c>
      <c r="E137" t="s">
        <v>140</v>
      </c>
      <c r="F137" t="s">
        <v>15</v>
      </c>
      <c r="G137" t="s">
        <v>25</v>
      </c>
      <c r="H137" s="5">
        <v>73360.38</v>
      </c>
      <c r="I137" t="s">
        <v>26</v>
      </c>
      <c r="J137" s="6">
        <v>43972</v>
      </c>
      <c r="K137">
        <v>1</v>
      </c>
      <c r="L137" t="s">
        <v>76</v>
      </c>
      <c r="M137" t="s">
        <v>19</v>
      </c>
      <c r="N137" s="9">
        <v>4.087671232876712</v>
      </c>
      <c r="O137" t="s">
        <v>20</v>
      </c>
    </row>
    <row r="138" spans="3:15" x14ac:dyDescent="0.25">
      <c r="C138" t="s">
        <v>138</v>
      </c>
      <c r="D138" t="s">
        <v>139</v>
      </c>
      <c r="E138" t="s">
        <v>140</v>
      </c>
      <c r="F138" t="s">
        <v>15</v>
      </c>
      <c r="G138" t="s">
        <v>25</v>
      </c>
      <c r="H138" s="5">
        <v>73360.38</v>
      </c>
      <c r="I138" t="s">
        <v>26</v>
      </c>
      <c r="J138" s="6">
        <v>43972</v>
      </c>
      <c r="K138">
        <v>1</v>
      </c>
      <c r="L138" t="s">
        <v>76</v>
      </c>
      <c r="M138" t="s">
        <v>19</v>
      </c>
      <c r="N138" s="9">
        <v>4.087671232876712</v>
      </c>
      <c r="O138" t="s">
        <v>20</v>
      </c>
    </row>
    <row r="139" spans="3:15" x14ac:dyDescent="0.25">
      <c r="C139" t="s">
        <v>721</v>
      </c>
      <c r="D139" t="s">
        <v>220</v>
      </c>
      <c r="E139" t="s">
        <v>221</v>
      </c>
      <c r="F139" t="s">
        <v>15</v>
      </c>
      <c r="G139" t="s">
        <v>97</v>
      </c>
      <c r="H139" s="5">
        <v>72876.91</v>
      </c>
      <c r="I139" t="s">
        <v>26</v>
      </c>
      <c r="J139" s="6">
        <v>43837</v>
      </c>
      <c r="K139">
        <v>1</v>
      </c>
      <c r="L139" t="s">
        <v>18</v>
      </c>
      <c r="M139" t="s">
        <v>19</v>
      </c>
      <c r="N139" s="9">
        <v>4.4575342465753423</v>
      </c>
      <c r="O139" t="s">
        <v>20</v>
      </c>
    </row>
    <row r="140" spans="3:15" x14ac:dyDescent="0.25">
      <c r="C140" t="s">
        <v>219</v>
      </c>
      <c r="D140" t="s">
        <v>220</v>
      </c>
      <c r="E140" t="s">
        <v>221</v>
      </c>
      <c r="F140" t="s">
        <v>15</v>
      </c>
      <c r="G140" t="s">
        <v>97</v>
      </c>
      <c r="H140" s="5">
        <v>72876.91</v>
      </c>
      <c r="I140" t="s">
        <v>26</v>
      </c>
      <c r="J140" s="6">
        <v>43612</v>
      </c>
      <c r="K140">
        <v>0.4</v>
      </c>
      <c r="L140" t="s">
        <v>37</v>
      </c>
      <c r="M140" t="s">
        <v>77</v>
      </c>
      <c r="N140" s="9">
        <v>5.0739726027397261</v>
      </c>
      <c r="O140" t="s">
        <v>28</v>
      </c>
    </row>
    <row r="141" spans="3:15" x14ac:dyDescent="0.25">
      <c r="C141" t="s">
        <v>383</v>
      </c>
      <c r="D141" t="s">
        <v>384</v>
      </c>
      <c r="E141" t="s">
        <v>385</v>
      </c>
      <c r="F141" t="s">
        <v>15</v>
      </c>
      <c r="G141" t="s">
        <v>131</v>
      </c>
      <c r="H141" s="5">
        <v>72843.23</v>
      </c>
      <c r="I141" t="s">
        <v>26</v>
      </c>
      <c r="J141" s="6">
        <v>43280</v>
      </c>
      <c r="K141">
        <v>1</v>
      </c>
      <c r="L141" t="s">
        <v>37</v>
      </c>
      <c r="M141" t="s">
        <v>45</v>
      </c>
      <c r="N141" s="9">
        <v>5.9835616438356167</v>
      </c>
      <c r="O141" t="s">
        <v>20</v>
      </c>
    </row>
    <row r="142" spans="3:15" x14ac:dyDescent="0.25">
      <c r="C142" t="s">
        <v>609</v>
      </c>
      <c r="D142" t="s">
        <v>610</v>
      </c>
      <c r="E142" t="s">
        <v>611</v>
      </c>
      <c r="F142" t="s">
        <v>24</v>
      </c>
      <c r="G142" t="s">
        <v>124</v>
      </c>
      <c r="H142" s="5">
        <v>72502.61</v>
      </c>
      <c r="I142" t="s">
        <v>26</v>
      </c>
      <c r="J142" s="6">
        <v>44235</v>
      </c>
      <c r="K142">
        <v>1</v>
      </c>
      <c r="L142" t="s">
        <v>18</v>
      </c>
      <c r="M142" t="s">
        <v>45</v>
      </c>
      <c r="N142" s="9">
        <v>3.3671232876712329</v>
      </c>
      <c r="O142" t="s">
        <v>20</v>
      </c>
    </row>
    <row r="143" spans="3:15" x14ac:dyDescent="0.25">
      <c r="C143" t="s">
        <v>428</v>
      </c>
      <c r="D143" t="s">
        <v>429</v>
      </c>
      <c r="E143" t="s">
        <v>430</v>
      </c>
      <c r="F143" t="s">
        <v>24</v>
      </c>
      <c r="G143" t="s">
        <v>50</v>
      </c>
      <c r="H143" s="5">
        <v>71924.850000000006</v>
      </c>
      <c r="I143" t="s">
        <v>26</v>
      </c>
      <c r="J143" s="6">
        <v>43822</v>
      </c>
      <c r="K143">
        <v>1</v>
      </c>
      <c r="L143" t="s">
        <v>18</v>
      </c>
      <c r="M143" t="s">
        <v>84</v>
      </c>
      <c r="N143" s="9">
        <v>4.4986301369863018</v>
      </c>
      <c r="O143" t="s">
        <v>20</v>
      </c>
    </row>
    <row r="144" spans="3:15" x14ac:dyDescent="0.25">
      <c r="C144" t="s">
        <v>315</v>
      </c>
      <c r="D144" t="s">
        <v>316</v>
      </c>
      <c r="E144" t="s">
        <v>317</v>
      </c>
      <c r="F144" t="s">
        <v>24</v>
      </c>
      <c r="G144" t="s">
        <v>101</v>
      </c>
      <c r="H144" s="5">
        <v>71823.56</v>
      </c>
      <c r="I144" t="s">
        <v>26</v>
      </c>
      <c r="J144" s="6">
        <v>43374</v>
      </c>
      <c r="K144">
        <v>0.3</v>
      </c>
      <c r="L144" t="s">
        <v>76</v>
      </c>
      <c r="M144" t="s">
        <v>19</v>
      </c>
      <c r="N144" s="9">
        <v>5.7260273972602738</v>
      </c>
      <c r="O144" t="s">
        <v>28</v>
      </c>
    </row>
    <row r="145" spans="3:15" x14ac:dyDescent="0.25">
      <c r="C145" t="s">
        <v>315</v>
      </c>
      <c r="D145" t="s">
        <v>316</v>
      </c>
      <c r="E145" t="s">
        <v>317</v>
      </c>
      <c r="F145" t="s">
        <v>24</v>
      </c>
      <c r="G145" t="s">
        <v>101</v>
      </c>
      <c r="H145" s="5">
        <v>71823.56</v>
      </c>
      <c r="I145" t="s">
        <v>26</v>
      </c>
      <c r="J145" s="6">
        <v>43374</v>
      </c>
      <c r="K145">
        <v>0.3</v>
      </c>
      <c r="L145" t="s">
        <v>76</v>
      </c>
      <c r="M145" t="s">
        <v>19</v>
      </c>
      <c r="N145" s="9">
        <v>5.7260273972602738</v>
      </c>
      <c r="O145" t="s">
        <v>28</v>
      </c>
    </row>
    <row r="146" spans="3:15" x14ac:dyDescent="0.25">
      <c r="C146" t="s">
        <v>109</v>
      </c>
      <c r="D146" t="s">
        <v>110</v>
      </c>
      <c r="E146" t="s">
        <v>111</v>
      </c>
      <c r="F146" t="s">
        <v>24</v>
      </c>
      <c r="G146" t="s">
        <v>36</v>
      </c>
      <c r="H146" s="5">
        <v>71570.990000000005</v>
      </c>
      <c r="I146" t="s">
        <v>26</v>
      </c>
      <c r="J146" s="6">
        <v>44249</v>
      </c>
      <c r="K146">
        <v>0.5</v>
      </c>
      <c r="L146" t="s">
        <v>18</v>
      </c>
      <c r="M146" t="s">
        <v>41</v>
      </c>
      <c r="N146" s="9">
        <v>3.3287671232876712</v>
      </c>
      <c r="O146" t="s">
        <v>28</v>
      </c>
    </row>
    <row r="147" spans="3:15" x14ac:dyDescent="0.25">
      <c r="C147" t="s">
        <v>348</v>
      </c>
      <c r="D147" t="s">
        <v>349</v>
      </c>
      <c r="E147" t="s">
        <v>350</v>
      </c>
      <c r="F147" t="s">
        <v>15</v>
      </c>
      <c r="G147" t="s">
        <v>25</v>
      </c>
      <c r="H147" s="5">
        <v>71371.37</v>
      </c>
      <c r="I147" t="s">
        <v>26</v>
      </c>
      <c r="J147" s="6">
        <v>43392</v>
      </c>
      <c r="K147">
        <v>1</v>
      </c>
      <c r="L147" t="s">
        <v>18</v>
      </c>
      <c r="M147" t="s">
        <v>41</v>
      </c>
      <c r="N147" s="9">
        <v>5.6767123287671231</v>
      </c>
      <c r="O147" t="s">
        <v>20</v>
      </c>
    </row>
    <row r="148" spans="3:15" x14ac:dyDescent="0.25">
      <c r="C148" t="s">
        <v>605</v>
      </c>
      <c r="D148" t="s">
        <v>606</v>
      </c>
      <c r="E148" t="s">
        <v>607</v>
      </c>
      <c r="F148" t="s">
        <v>24</v>
      </c>
      <c r="G148" t="s">
        <v>32</v>
      </c>
      <c r="H148" s="5">
        <v>71229.42</v>
      </c>
      <c r="I148" t="s">
        <v>26</v>
      </c>
      <c r="J148" s="6">
        <v>44166</v>
      </c>
      <c r="K148">
        <v>1</v>
      </c>
      <c r="L148" t="s">
        <v>18</v>
      </c>
      <c r="M148" t="s">
        <v>41</v>
      </c>
      <c r="N148" s="9">
        <v>3.5561643835616437</v>
      </c>
      <c r="O148" t="s">
        <v>20</v>
      </c>
    </row>
    <row r="149" spans="3:15" x14ac:dyDescent="0.25">
      <c r="C149" t="s">
        <v>528</v>
      </c>
      <c r="D149" t="s">
        <v>529</v>
      </c>
      <c r="E149" t="s">
        <v>530</v>
      </c>
      <c r="F149" t="s">
        <v>24</v>
      </c>
      <c r="G149" t="s">
        <v>54</v>
      </c>
      <c r="H149" s="5">
        <v>70755.5</v>
      </c>
      <c r="I149" t="s">
        <v>26</v>
      </c>
      <c r="J149" s="6">
        <v>44090</v>
      </c>
      <c r="K149">
        <v>0.8</v>
      </c>
      <c r="L149" t="s">
        <v>76</v>
      </c>
      <c r="M149" t="s">
        <v>41</v>
      </c>
      <c r="N149" s="9">
        <v>3.7643835616438355</v>
      </c>
      <c r="O149" t="s">
        <v>28</v>
      </c>
    </row>
    <row r="150" spans="3:15" x14ac:dyDescent="0.25">
      <c r="C150" t="s">
        <v>309</v>
      </c>
      <c r="D150" t="s">
        <v>310</v>
      </c>
      <c r="E150" t="s">
        <v>311</v>
      </c>
      <c r="F150" t="s">
        <v>24</v>
      </c>
      <c r="G150" t="s">
        <v>25</v>
      </c>
      <c r="H150" s="5">
        <v>70649.460000000006</v>
      </c>
      <c r="I150" t="s">
        <v>26</v>
      </c>
      <c r="J150" s="6">
        <v>43843</v>
      </c>
      <c r="K150">
        <v>1</v>
      </c>
      <c r="L150" t="s">
        <v>18</v>
      </c>
      <c r="M150" t="s">
        <v>41</v>
      </c>
      <c r="N150" s="9">
        <v>4.441095890410959</v>
      </c>
      <c r="O150" t="s">
        <v>20</v>
      </c>
    </row>
    <row r="151" spans="3:15" x14ac:dyDescent="0.25">
      <c r="C151" t="s">
        <v>88</v>
      </c>
      <c r="D151" t="s">
        <v>89</v>
      </c>
      <c r="E151" t="s">
        <v>90</v>
      </c>
      <c r="F151" t="s">
        <v>15</v>
      </c>
      <c r="G151" t="s">
        <v>32</v>
      </c>
      <c r="H151" s="5">
        <v>69913.39</v>
      </c>
      <c r="I151" t="s">
        <v>26</v>
      </c>
      <c r="J151" s="6">
        <v>43584</v>
      </c>
      <c r="K151">
        <v>1</v>
      </c>
      <c r="L151" t="s">
        <v>18</v>
      </c>
      <c r="M151" t="s">
        <v>19</v>
      </c>
      <c r="N151" s="9">
        <v>5.1506849315068495</v>
      </c>
      <c r="O151" t="s">
        <v>20</v>
      </c>
    </row>
    <row r="152" spans="3:15" x14ac:dyDescent="0.25">
      <c r="C152" t="s">
        <v>648</v>
      </c>
      <c r="D152" t="s">
        <v>649</v>
      </c>
      <c r="E152" t="s">
        <v>650</v>
      </c>
      <c r="F152" t="s">
        <v>15</v>
      </c>
      <c r="G152" t="s">
        <v>97</v>
      </c>
      <c r="H152" s="5">
        <v>69862.38</v>
      </c>
      <c r="I152" t="s">
        <v>26</v>
      </c>
      <c r="J152" s="6">
        <v>43458</v>
      </c>
      <c r="K152">
        <v>1</v>
      </c>
      <c r="L152" t="s">
        <v>18</v>
      </c>
      <c r="M152" t="s">
        <v>45</v>
      </c>
      <c r="N152" s="9">
        <v>5.4958904109589044</v>
      </c>
      <c r="O152" t="s">
        <v>20</v>
      </c>
    </row>
    <row r="153" spans="3:15" x14ac:dyDescent="0.25">
      <c r="C153" t="s">
        <v>475</v>
      </c>
      <c r="D153" t="s">
        <v>476</v>
      </c>
      <c r="E153" t="s">
        <v>477</v>
      </c>
      <c r="F153" t="s">
        <v>15</v>
      </c>
      <c r="G153" t="s">
        <v>25</v>
      </c>
      <c r="H153" s="5">
        <v>69764.100000000006</v>
      </c>
      <c r="I153" t="s">
        <v>26</v>
      </c>
      <c r="J153" s="6">
        <v>44195</v>
      </c>
      <c r="K153">
        <v>1</v>
      </c>
      <c r="L153" t="s">
        <v>37</v>
      </c>
      <c r="M153" t="s">
        <v>27</v>
      </c>
      <c r="N153" s="9">
        <v>3.4767123287671233</v>
      </c>
      <c r="O153" t="s">
        <v>20</v>
      </c>
    </row>
    <row r="154" spans="3:15" x14ac:dyDescent="0.25">
      <c r="C154" t="s">
        <v>660</v>
      </c>
      <c r="D154" t="s">
        <v>661</v>
      </c>
      <c r="E154" t="s">
        <v>662</v>
      </c>
      <c r="F154" t="s">
        <v>15</v>
      </c>
      <c r="G154" t="s">
        <v>58</v>
      </c>
      <c r="H154" s="5">
        <v>69709.509999999995</v>
      </c>
      <c r="I154" t="s">
        <v>26</v>
      </c>
      <c r="J154" s="6">
        <v>43472</v>
      </c>
      <c r="K154">
        <v>1</v>
      </c>
      <c r="L154" t="s">
        <v>18</v>
      </c>
      <c r="M154" t="s">
        <v>41</v>
      </c>
      <c r="N154" s="9">
        <v>5.4575342465753423</v>
      </c>
      <c r="O154" t="s">
        <v>20</v>
      </c>
    </row>
    <row r="155" spans="3:15" x14ac:dyDescent="0.25">
      <c r="C155" t="s">
        <v>69</v>
      </c>
      <c r="D155" t="s">
        <v>70</v>
      </c>
      <c r="E155" t="s">
        <v>71</v>
      </c>
      <c r="F155" t="s">
        <v>24</v>
      </c>
      <c r="G155" t="s">
        <v>25</v>
      </c>
      <c r="H155" s="5">
        <v>69192.850000000006</v>
      </c>
      <c r="I155" t="s">
        <v>26</v>
      </c>
      <c r="J155" s="6">
        <v>44305</v>
      </c>
      <c r="K155">
        <v>1</v>
      </c>
      <c r="L155" t="s">
        <v>18</v>
      </c>
      <c r="M155" t="s">
        <v>72</v>
      </c>
      <c r="N155" s="9">
        <v>3.1753424657534248</v>
      </c>
      <c r="O155" t="s">
        <v>20</v>
      </c>
    </row>
    <row r="156" spans="3:15" x14ac:dyDescent="0.25">
      <c r="C156" t="s">
        <v>156</v>
      </c>
      <c r="D156" t="s">
        <v>157</v>
      </c>
      <c r="E156" t="s">
        <v>158</v>
      </c>
      <c r="F156" t="s">
        <v>24</v>
      </c>
      <c r="G156" t="s">
        <v>101</v>
      </c>
      <c r="H156" s="5">
        <v>69163.39</v>
      </c>
      <c r="I156" t="s">
        <v>26</v>
      </c>
      <c r="J156" s="6">
        <v>43397</v>
      </c>
      <c r="K156">
        <v>1</v>
      </c>
      <c r="L156" t="s">
        <v>18</v>
      </c>
      <c r="M156" t="s">
        <v>19</v>
      </c>
      <c r="N156" s="9">
        <v>5.6630136986301371</v>
      </c>
      <c r="O156" t="s">
        <v>20</v>
      </c>
    </row>
    <row r="157" spans="3:15" x14ac:dyDescent="0.25">
      <c r="C157" t="s">
        <v>156</v>
      </c>
      <c r="D157" t="s">
        <v>157</v>
      </c>
      <c r="E157" t="s">
        <v>158</v>
      </c>
      <c r="F157" t="s">
        <v>24</v>
      </c>
      <c r="G157" t="s">
        <v>101</v>
      </c>
      <c r="H157" s="5">
        <v>69163.39</v>
      </c>
      <c r="I157" t="s">
        <v>26</v>
      </c>
      <c r="J157" s="6">
        <v>43397</v>
      </c>
      <c r="K157">
        <v>1</v>
      </c>
      <c r="L157" t="s">
        <v>18</v>
      </c>
      <c r="M157" t="s">
        <v>19</v>
      </c>
      <c r="N157" s="9">
        <v>5.6630136986301371</v>
      </c>
      <c r="O157" t="s">
        <v>20</v>
      </c>
    </row>
    <row r="158" spans="3:15" x14ac:dyDescent="0.25">
      <c r="C158" t="s">
        <v>234</v>
      </c>
      <c r="D158" t="s">
        <v>235</v>
      </c>
      <c r="E158" t="s">
        <v>236</v>
      </c>
      <c r="F158" t="s">
        <v>24</v>
      </c>
      <c r="G158" t="s">
        <v>32</v>
      </c>
      <c r="H158" s="5">
        <v>69057.320000000007</v>
      </c>
      <c r="I158" t="s">
        <v>26</v>
      </c>
      <c r="J158" s="6">
        <v>43390</v>
      </c>
      <c r="K158">
        <v>1</v>
      </c>
      <c r="L158" t="s">
        <v>18</v>
      </c>
      <c r="M158" t="s">
        <v>45</v>
      </c>
      <c r="N158" s="9">
        <v>5.6821917808219178</v>
      </c>
      <c r="O158" t="s">
        <v>20</v>
      </c>
    </row>
    <row r="159" spans="3:15" x14ac:dyDescent="0.25">
      <c r="C159" t="s">
        <v>234</v>
      </c>
      <c r="D159" t="s">
        <v>235</v>
      </c>
      <c r="E159" t="s">
        <v>236</v>
      </c>
      <c r="F159" t="s">
        <v>24</v>
      </c>
      <c r="G159" t="s">
        <v>32</v>
      </c>
      <c r="H159" s="5">
        <v>69057.320000000007</v>
      </c>
      <c r="I159" t="s">
        <v>26</v>
      </c>
      <c r="J159" s="6">
        <v>43390</v>
      </c>
      <c r="K159">
        <v>1</v>
      </c>
      <c r="L159" t="s">
        <v>18</v>
      </c>
      <c r="M159" t="s">
        <v>45</v>
      </c>
      <c r="N159" s="9">
        <v>5.6821917808219178</v>
      </c>
      <c r="O159" t="s">
        <v>20</v>
      </c>
    </row>
    <row r="160" spans="3:15" x14ac:dyDescent="0.25">
      <c r="C160" t="s">
        <v>59</v>
      </c>
      <c r="D160" t="s">
        <v>60</v>
      </c>
      <c r="E160" t="s">
        <v>61</v>
      </c>
      <c r="F160" t="s">
        <v>24</v>
      </c>
      <c r="G160" t="s">
        <v>25</v>
      </c>
      <c r="H160" s="5">
        <v>68980.52</v>
      </c>
      <c r="I160" t="s">
        <v>26</v>
      </c>
      <c r="J160" s="6">
        <v>43494</v>
      </c>
      <c r="K160">
        <v>0.8</v>
      </c>
      <c r="L160" t="s">
        <v>18</v>
      </c>
      <c r="M160" t="s">
        <v>19</v>
      </c>
      <c r="N160" s="9">
        <v>5.397260273972603</v>
      </c>
      <c r="O160" t="s">
        <v>28</v>
      </c>
    </row>
    <row r="161" spans="3:15" x14ac:dyDescent="0.25">
      <c r="C161" t="s">
        <v>360</v>
      </c>
      <c r="D161" t="s">
        <v>361</v>
      </c>
      <c r="E161" t="s">
        <v>362</v>
      </c>
      <c r="F161" t="s">
        <v>24</v>
      </c>
      <c r="G161" t="s">
        <v>101</v>
      </c>
      <c r="H161" s="5">
        <v>68887.839999999997</v>
      </c>
      <c r="I161" t="s">
        <v>26</v>
      </c>
      <c r="J161" s="6">
        <v>43297</v>
      </c>
      <c r="K161">
        <v>1</v>
      </c>
      <c r="L161" t="s">
        <v>18</v>
      </c>
      <c r="M161" t="s">
        <v>19</v>
      </c>
      <c r="N161" s="9">
        <v>5.9369863013698634</v>
      </c>
      <c r="O161" t="s">
        <v>20</v>
      </c>
    </row>
    <row r="162" spans="3:15" x14ac:dyDescent="0.25">
      <c r="C162" t="s">
        <v>192</v>
      </c>
      <c r="D162" t="s">
        <v>193</v>
      </c>
      <c r="E162" t="s">
        <v>194</v>
      </c>
      <c r="F162" t="s">
        <v>15</v>
      </c>
      <c r="G162" t="s">
        <v>105</v>
      </c>
      <c r="H162" s="5">
        <v>68860.399999999994</v>
      </c>
      <c r="I162" t="s">
        <v>26</v>
      </c>
      <c r="J162" s="6">
        <v>43508</v>
      </c>
      <c r="K162">
        <v>0.4</v>
      </c>
      <c r="L162" t="s">
        <v>18</v>
      </c>
      <c r="M162" t="s">
        <v>72</v>
      </c>
      <c r="N162" s="9">
        <v>5.3589041095890408</v>
      </c>
      <c r="O162" t="s">
        <v>28</v>
      </c>
    </row>
    <row r="163" spans="3:15" x14ac:dyDescent="0.25">
      <c r="C163" t="s">
        <v>563</v>
      </c>
      <c r="D163" t="s">
        <v>564</v>
      </c>
      <c r="E163" t="s">
        <v>565</v>
      </c>
      <c r="F163" t="s">
        <v>24</v>
      </c>
      <c r="G163" t="s">
        <v>124</v>
      </c>
      <c r="H163" s="5">
        <v>68795.48</v>
      </c>
      <c r="I163" t="s">
        <v>26</v>
      </c>
      <c r="J163" s="6">
        <v>44277</v>
      </c>
      <c r="K163">
        <v>0.2</v>
      </c>
      <c r="L163" t="s">
        <v>18</v>
      </c>
      <c r="M163" t="s">
        <v>19</v>
      </c>
      <c r="N163" s="9">
        <v>3.2520547945205478</v>
      </c>
      <c r="O163" t="s">
        <v>28</v>
      </c>
    </row>
    <row r="164" spans="3:15" x14ac:dyDescent="0.25">
      <c r="C164" t="s">
        <v>563</v>
      </c>
      <c r="D164" t="s">
        <v>564</v>
      </c>
      <c r="E164" t="s">
        <v>565</v>
      </c>
      <c r="F164" t="s">
        <v>24</v>
      </c>
      <c r="G164" t="s">
        <v>124</v>
      </c>
      <c r="H164" s="5">
        <v>68795.48</v>
      </c>
      <c r="I164" t="s">
        <v>26</v>
      </c>
      <c r="J164" s="6">
        <v>44277</v>
      </c>
      <c r="K164">
        <v>0.2</v>
      </c>
      <c r="L164" t="s">
        <v>18</v>
      </c>
      <c r="M164" t="s">
        <v>19</v>
      </c>
      <c r="N164" s="9">
        <v>3.2520547945205478</v>
      </c>
      <c r="O164" t="s">
        <v>28</v>
      </c>
    </row>
    <row r="165" spans="3:15" x14ac:dyDescent="0.25">
      <c r="C165" t="s">
        <v>612</v>
      </c>
      <c r="D165" t="s">
        <v>613</v>
      </c>
      <c r="E165" t="s">
        <v>614</v>
      </c>
      <c r="F165" t="s">
        <v>24</v>
      </c>
      <c r="G165" t="s">
        <v>124</v>
      </c>
      <c r="H165" s="5">
        <v>68197.899999999994</v>
      </c>
      <c r="I165" t="s">
        <v>26</v>
      </c>
      <c r="J165" s="6">
        <v>44119</v>
      </c>
      <c r="K165">
        <v>1</v>
      </c>
      <c r="L165" t="s">
        <v>18</v>
      </c>
      <c r="M165" t="s">
        <v>77</v>
      </c>
      <c r="N165" s="9">
        <v>3.6849315068493151</v>
      </c>
      <c r="O165" t="s">
        <v>20</v>
      </c>
    </row>
    <row r="166" spans="3:15" x14ac:dyDescent="0.25">
      <c r="C166" t="s">
        <v>416</v>
      </c>
      <c r="D166" t="s">
        <v>417</v>
      </c>
      <c r="E166" t="s">
        <v>418</v>
      </c>
      <c r="F166" t="s">
        <v>24</v>
      </c>
      <c r="G166" t="s">
        <v>54</v>
      </c>
      <c r="H166" s="5">
        <v>68008.55</v>
      </c>
      <c r="I166" t="s">
        <v>26</v>
      </c>
      <c r="J166" s="6">
        <v>44062</v>
      </c>
      <c r="K166">
        <v>1</v>
      </c>
      <c r="L166" t="s">
        <v>18</v>
      </c>
      <c r="M166" t="s">
        <v>77</v>
      </c>
      <c r="N166" s="9">
        <v>3.8410958904109589</v>
      </c>
      <c r="O166" t="s">
        <v>20</v>
      </c>
    </row>
    <row r="167" spans="3:15" x14ac:dyDescent="0.25">
      <c r="C167" t="s">
        <v>252</v>
      </c>
      <c r="D167" t="s">
        <v>253</v>
      </c>
      <c r="E167" t="s">
        <v>254</v>
      </c>
      <c r="F167" t="s">
        <v>49</v>
      </c>
      <c r="G167" t="s">
        <v>97</v>
      </c>
      <c r="H167" s="5">
        <v>67957.899999999994</v>
      </c>
      <c r="I167" t="s">
        <v>26</v>
      </c>
      <c r="J167" s="6">
        <v>43430</v>
      </c>
      <c r="K167">
        <v>1</v>
      </c>
      <c r="L167" t="s">
        <v>18</v>
      </c>
      <c r="M167" t="s">
        <v>84</v>
      </c>
      <c r="N167" s="9">
        <v>5.5726027397260278</v>
      </c>
      <c r="O167" t="s">
        <v>20</v>
      </c>
    </row>
    <row r="168" spans="3:15" x14ac:dyDescent="0.25">
      <c r="C168" t="s">
        <v>645</v>
      </c>
      <c r="D168" t="s">
        <v>646</v>
      </c>
      <c r="E168" t="s">
        <v>647</v>
      </c>
      <c r="F168" t="s">
        <v>24</v>
      </c>
      <c r="G168" t="s">
        <v>54</v>
      </c>
      <c r="H168" s="5">
        <v>67905.8</v>
      </c>
      <c r="I168" t="s">
        <v>26</v>
      </c>
      <c r="J168" s="6">
        <v>44194</v>
      </c>
      <c r="K168">
        <v>1</v>
      </c>
      <c r="L168" t="s">
        <v>18</v>
      </c>
      <c r="M168" t="s">
        <v>19</v>
      </c>
      <c r="N168" s="9">
        <v>3.4794520547945207</v>
      </c>
      <c r="O168" t="s">
        <v>20</v>
      </c>
    </row>
    <row r="169" spans="3:15" x14ac:dyDescent="0.25">
      <c r="C169" t="s">
        <v>180</v>
      </c>
      <c r="D169" t="s">
        <v>181</v>
      </c>
      <c r="E169" t="s">
        <v>182</v>
      </c>
      <c r="F169" t="s">
        <v>24</v>
      </c>
      <c r="G169" t="s">
        <v>124</v>
      </c>
      <c r="H169" s="5">
        <v>67818.14</v>
      </c>
      <c r="I169" t="s">
        <v>26</v>
      </c>
      <c r="J169" s="6">
        <v>43406</v>
      </c>
      <c r="K169">
        <v>0.6</v>
      </c>
      <c r="L169" t="s">
        <v>37</v>
      </c>
      <c r="M169" t="s">
        <v>19</v>
      </c>
      <c r="N169" s="9">
        <v>5.6383561643835618</v>
      </c>
      <c r="O169" t="s">
        <v>28</v>
      </c>
    </row>
    <row r="170" spans="3:15" x14ac:dyDescent="0.25">
      <c r="C170" t="s">
        <v>180</v>
      </c>
      <c r="D170" t="s">
        <v>181</v>
      </c>
      <c r="E170" t="s">
        <v>182</v>
      </c>
      <c r="F170" t="s">
        <v>24</v>
      </c>
      <c r="G170" t="s">
        <v>124</v>
      </c>
      <c r="H170" s="5">
        <v>67818.14</v>
      </c>
      <c r="I170" t="s">
        <v>26</v>
      </c>
      <c r="J170" s="6">
        <v>43406</v>
      </c>
      <c r="K170">
        <v>0.6</v>
      </c>
      <c r="L170" t="s">
        <v>37</v>
      </c>
      <c r="M170" t="s">
        <v>19</v>
      </c>
      <c r="N170" s="9">
        <v>5.6383561643835618</v>
      </c>
      <c r="O170" t="s">
        <v>28</v>
      </c>
    </row>
    <row r="171" spans="3:15" x14ac:dyDescent="0.25">
      <c r="C171" t="s">
        <v>371</v>
      </c>
      <c r="D171" t="s">
        <v>372</v>
      </c>
      <c r="E171" t="s">
        <v>373</v>
      </c>
      <c r="F171" t="s">
        <v>15</v>
      </c>
      <c r="G171" t="s">
        <v>101</v>
      </c>
      <c r="H171" s="5">
        <v>67633.850000000006</v>
      </c>
      <c r="I171" t="s">
        <v>26</v>
      </c>
      <c r="J171" s="6">
        <v>43340</v>
      </c>
      <c r="K171">
        <v>1</v>
      </c>
      <c r="L171" t="s">
        <v>18</v>
      </c>
      <c r="M171" t="s">
        <v>72</v>
      </c>
      <c r="N171" s="9">
        <v>5.8191780821917805</v>
      </c>
      <c r="O171" t="s">
        <v>20</v>
      </c>
    </row>
    <row r="172" spans="3:15" x14ac:dyDescent="0.25">
      <c r="C172" t="s">
        <v>240</v>
      </c>
      <c r="D172" t="s">
        <v>241</v>
      </c>
      <c r="E172" t="s">
        <v>242</v>
      </c>
      <c r="F172" t="s">
        <v>24</v>
      </c>
      <c r="G172" t="s">
        <v>124</v>
      </c>
      <c r="H172" s="5">
        <v>66865.490000000005</v>
      </c>
      <c r="I172" t="s">
        <v>26</v>
      </c>
      <c r="J172" s="6">
        <v>43514</v>
      </c>
      <c r="K172">
        <v>1</v>
      </c>
      <c r="L172" t="s">
        <v>18</v>
      </c>
      <c r="M172" t="s">
        <v>27</v>
      </c>
      <c r="N172" s="9">
        <v>5.3424657534246576</v>
      </c>
      <c r="O172" t="s">
        <v>20</v>
      </c>
    </row>
    <row r="173" spans="3:15" x14ac:dyDescent="0.25">
      <c r="C173" t="s">
        <v>240</v>
      </c>
      <c r="D173" t="s">
        <v>241</v>
      </c>
      <c r="E173" t="s">
        <v>242</v>
      </c>
      <c r="F173" t="s">
        <v>24</v>
      </c>
      <c r="G173" t="s">
        <v>124</v>
      </c>
      <c r="H173" s="5">
        <v>66865.490000000005</v>
      </c>
      <c r="I173" t="s">
        <v>26</v>
      </c>
      <c r="J173" s="6">
        <v>43514</v>
      </c>
      <c r="K173">
        <v>1</v>
      </c>
      <c r="L173" t="s">
        <v>18</v>
      </c>
      <c r="M173" t="s">
        <v>27</v>
      </c>
      <c r="N173" s="9">
        <v>5.3424657534246576</v>
      </c>
      <c r="O173" t="s">
        <v>20</v>
      </c>
    </row>
    <row r="174" spans="3:15" x14ac:dyDescent="0.25">
      <c r="C174" t="s">
        <v>321</v>
      </c>
      <c r="D174" t="s">
        <v>322</v>
      </c>
      <c r="E174" t="s">
        <v>323</v>
      </c>
      <c r="F174" t="s">
        <v>15</v>
      </c>
      <c r="G174" t="s">
        <v>131</v>
      </c>
      <c r="H174" s="5">
        <v>66572.58</v>
      </c>
      <c r="I174" t="s">
        <v>26</v>
      </c>
      <c r="J174" s="6">
        <v>44193</v>
      </c>
      <c r="K174">
        <v>1</v>
      </c>
      <c r="L174" t="s">
        <v>18</v>
      </c>
      <c r="M174" t="s">
        <v>84</v>
      </c>
      <c r="N174" s="9">
        <v>3.4821917808219176</v>
      </c>
      <c r="O174" t="s">
        <v>20</v>
      </c>
    </row>
    <row r="175" spans="3:15" x14ac:dyDescent="0.25">
      <c r="C175" t="s">
        <v>321</v>
      </c>
      <c r="D175" t="s">
        <v>713</v>
      </c>
      <c r="E175" t="s">
        <v>714</v>
      </c>
      <c r="F175" t="s">
        <v>15</v>
      </c>
      <c r="G175" t="s">
        <v>131</v>
      </c>
      <c r="H175" s="5">
        <v>66572.58</v>
      </c>
      <c r="I175" t="s">
        <v>26</v>
      </c>
      <c r="J175" s="6">
        <v>44193</v>
      </c>
      <c r="K175">
        <v>1</v>
      </c>
      <c r="L175" t="s">
        <v>18</v>
      </c>
      <c r="M175" t="s">
        <v>84</v>
      </c>
      <c r="N175" s="9">
        <v>3.4821917808219176</v>
      </c>
      <c r="O175" t="s">
        <v>20</v>
      </c>
    </row>
    <row r="176" spans="3:15" x14ac:dyDescent="0.25">
      <c r="C176" t="s">
        <v>51</v>
      </c>
      <c r="D176" t="s">
        <v>52</v>
      </c>
      <c r="E176" t="s">
        <v>53</v>
      </c>
      <c r="F176" t="s">
        <v>24</v>
      </c>
      <c r="G176" t="s">
        <v>54</v>
      </c>
      <c r="H176" s="5">
        <v>66017.179999999993</v>
      </c>
      <c r="I176" t="s">
        <v>26</v>
      </c>
      <c r="J176" s="6">
        <v>43643</v>
      </c>
      <c r="K176">
        <v>0.9</v>
      </c>
      <c r="L176" t="s">
        <v>18</v>
      </c>
      <c r="M176" t="s">
        <v>19</v>
      </c>
      <c r="N176" s="9">
        <v>4.9890410958904106</v>
      </c>
      <c r="O176" t="s">
        <v>28</v>
      </c>
    </row>
    <row r="177" spans="3:15" x14ac:dyDescent="0.25">
      <c r="C177" t="s">
        <v>258</v>
      </c>
      <c r="D177" t="s">
        <v>259</v>
      </c>
      <c r="E177" t="s">
        <v>260</v>
      </c>
      <c r="F177" t="s">
        <v>15</v>
      </c>
      <c r="G177" t="s">
        <v>54</v>
      </c>
      <c r="H177" s="5">
        <v>65699.02</v>
      </c>
      <c r="I177" t="s">
        <v>26</v>
      </c>
      <c r="J177" s="6">
        <v>43951</v>
      </c>
      <c r="K177">
        <v>1</v>
      </c>
      <c r="L177" t="s">
        <v>18</v>
      </c>
      <c r="M177" t="s">
        <v>72</v>
      </c>
      <c r="N177" s="9">
        <v>4.1452054794520548</v>
      </c>
      <c r="O177" t="s">
        <v>20</v>
      </c>
    </row>
    <row r="178" spans="3:15" x14ac:dyDescent="0.25">
      <c r="C178" t="s">
        <v>677</v>
      </c>
      <c r="D178" t="s">
        <v>678</v>
      </c>
      <c r="E178" t="s">
        <v>679</v>
      </c>
      <c r="F178" t="s">
        <v>15</v>
      </c>
      <c r="G178" t="s">
        <v>97</v>
      </c>
      <c r="H178" s="5">
        <v>65569.36</v>
      </c>
      <c r="I178" t="s">
        <v>26</v>
      </c>
      <c r="J178" s="6">
        <v>43293</v>
      </c>
      <c r="K178">
        <v>1</v>
      </c>
      <c r="L178" t="s">
        <v>37</v>
      </c>
      <c r="M178" t="s">
        <v>77</v>
      </c>
      <c r="N178" s="9">
        <v>5.9479452054794519</v>
      </c>
      <c r="O178" t="s">
        <v>20</v>
      </c>
    </row>
    <row r="179" spans="3:15" x14ac:dyDescent="0.25">
      <c r="C179" t="s">
        <v>225</v>
      </c>
      <c r="D179" t="s">
        <v>226</v>
      </c>
      <c r="E179" t="s">
        <v>227</v>
      </c>
      <c r="F179" t="s">
        <v>24</v>
      </c>
      <c r="G179" t="s">
        <v>131</v>
      </c>
      <c r="H179" s="5">
        <v>63705.4</v>
      </c>
      <c r="I179" t="s">
        <v>26</v>
      </c>
      <c r="J179" s="6">
        <v>43682</v>
      </c>
      <c r="K179">
        <v>1</v>
      </c>
      <c r="L179" t="s">
        <v>18</v>
      </c>
      <c r="M179" t="s">
        <v>41</v>
      </c>
      <c r="N179" s="9">
        <v>4.882191780821918</v>
      </c>
      <c r="O179" t="s">
        <v>20</v>
      </c>
    </row>
    <row r="180" spans="3:15" x14ac:dyDescent="0.25">
      <c r="C180" t="s">
        <v>174</v>
      </c>
      <c r="D180" t="s">
        <v>175</v>
      </c>
      <c r="E180" t="s">
        <v>176</v>
      </c>
      <c r="F180" t="s">
        <v>24</v>
      </c>
      <c r="G180" t="s">
        <v>50</v>
      </c>
      <c r="H180" s="5">
        <v>63555.73</v>
      </c>
      <c r="I180" t="s">
        <v>26</v>
      </c>
      <c r="J180" s="6">
        <v>44159</v>
      </c>
      <c r="K180">
        <v>1</v>
      </c>
      <c r="L180" t="s">
        <v>18</v>
      </c>
      <c r="M180" t="s">
        <v>84</v>
      </c>
      <c r="N180" s="9">
        <v>3.5753424657534247</v>
      </c>
      <c r="O180" t="s">
        <v>20</v>
      </c>
    </row>
    <row r="181" spans="3:15" x14ac:dyDescent="0.25">
      <c r="C181" t="s">
        <v>454</v>
      </c>
      <c r="D181" t="s">
        <v>455</v>
      </c>
      <c r="E181" t="s">
        <v>456</v>
      </c>
      <c r="F181" t="s">
        <v>49</v>
      </c>
      <c r="G181" t="s">
        <v>131</v>
      </c>
      <c r="H181" s="5">
        <v>63447.07</v>
      </c>
      <c r="I181" t="s">
        <v>26</v>
      </c>
      <c r="J181" s="6">
        <v>44148</v>
      </c>
      <c r="K181">
        <v>1</v>
      </c>
      <c r="L181" t="s">
        <v>76</v>
      </c>
      <c r="M181" t="s">
        <v>45</v>
      </c>
      <c r="N181" s="9">
        <v>3.6054794520547944</v>
      </c>
      <c r="O181" t="s">
        <v>20</v>
      </c>
    </row>
    <row r="182" spans="3:15" x14ac:dyDescent="0.25">
      <c r="C182" t="s">
        <v>578</v>
      </c>
      <c r="D182" t="s">
        <v>579</v>
      </c>
      <c r="E182" t="s">
        <v>580</v>
      </c>
      <c r="F182" t="s">
        <v>15</v>
      </c>
      <c r="G182" t="s">
        <v>58</v>
      </c>
      <c r="H182" s="5">
        <v>62281.24</v>
      </c>
      <c r="I182" t="s">
        <v>26</v>
      </c>
      <c r="J182" s="6">
        <v>43272</v>
      </c>
      <c r="K182">
        <v>1</v>
      </c>
      <c r="L182" t="s">
        <v>18</v>
      </c>
      <c r="M182" t="s">
        <v>19</v>
      </c>
      <c r="N182" s="9">
        <v>6.0054794520547947</v>
      </c>
      <c r="O182" t="s">
        <v>20</v>
      </c>
    </row>
    <row r="183" spans="3:15" x14ac:dyDescent="0.25">
      <c r="C183" t="s">
        <v>102</v>
      </c>
      <c r="D183" t="s">
        <v>103</v>
      </c>
      <c r="E183" t="s">
        <v>104</v>
      </c>
      <c r="F183" t="s">
        <v>15</v>
      </c>
      <c r="G183" t="s">
        <v>105</v>
      </c>
      <c r="H183" s="5">
        <v>62195.47</v>
      </c>
      <c r="I183" t="s">
        <v>26</v>
      </c>
      <c r="J183" s="6">
        <v>44434</v>
      </c>
      <c r="K183">
        <v>1</v>
      </c>
      <c r="L183" t="s">
        <v>18</v>
      </c>
      <c r="M183" t="s">
        <v>19</v>
      </c>
      <c r="N183" s="9">
        <v>2.8219178082191783</v>
      </c>
      <c r="O183" t="s">
        <v>20</v>
      </c>
    </row>
    <row r="184" spans="3:15" x14ac:dyDescent="0.25">
      <c r="C184" t="s">
        <v>115</v>
      </c>
      <c r="D184" t="s">
        <v>116</v>
      </c>
      <c r="E184" t="s">
        <v>117</v>
      </c>
      <c r="F184" t="s">
        <v>24</v>
      </c>
      <c r="G184" t="s">
        <v>97</v>
      </c>
      <c r="H184" s="5">
        <v>61994.76</v>
      </c>
      <c r="I184" t="s">
        <v>26</v>
      </c>
      <c r="J184" s="6">
        <v>43794</v>
      </c>
      <c r="K184">
        <v>0.3</v>
      </c>
      <c r="L184" t="s">
        <v>18</v>
      </c>
      <c r="M184" t="s">
        <v>41</v>
      </c>
      <c r="N184" s="9">
        <v>4.5753424657534243</v>
      </c>
      <c r="O184" t="s">
        <v>28</v>
      </c>
    </row>
    <row r="185" spans="3:15" x14ac:dyDescent="0.25">
      <c r="C185" t="s">
        <v>484</v>
      </c>
      <c r="D185" t="s">
        <v>485</v>
      </c>
      <c r="E185" t="s">
        <v>486</v>
      </c>
      <c r="F185" t="s">
        <v>24</v>
      </c>
      <c r="G185" t="s">
        <v>25</v>
      </c>
      <c r="H185" s="5">
        <v>61688.77</v>
      </c>
      <c r="I185" t="s">
        <v>26</v>
      </c>
      <c r="J185" s="6">
        <v>43346</v>
      </c>
      <c r="K185">
        <v>0.9</v>
      </c>
      <c r="L185" t="s">
        <v>18</v>
      </c>
      <c r="M185" t="s">
        <v>84</v>
      </c>
      <c r="N185" s="9">
        <v>5.8027397260273972</v>
      </c>
      <c r="O185" t="s">
        <v>28</v>
      </c>
    </row>
    <row r="186" spans="3:15" x14ac:dyDescent="0.25">
      <c r="C186" t="s">
        <v>516</v>
      </c>
      <c r="D186" t="s">
        <v>517</v>
      </c>
      <c r="E186" t="s">
        <v>518</v>
      </c>
      <c r="F186" t="s">
        <v>15</v>
      </c>
      <c r="G186" t="s">
        <v>16</v>
      </c>
      <c r="H186" s="5">
        <v>61624.77</v>
      </c>
      <c r="I186" t="s">
        <v>26</v>
      </c>
      <c r="J186" s="6">
        <v>43430</v>
      </c>
      <c r="K186">
        <v>0.3</v>
      </c>
      <c r="L186" t="s">
        <v>37</v>
      </c>
      <c r="M186" t="s">
        <v>41</v>
      </c>
      <c r="N186" s="9">
        <v>5.5726027397260278</v>
      </c>
      <c r="O186" t="s">
        <v>28</v>
      </c>
    </row>
    <row r="187" spans="3:15" x14ac:dyDescent="0.25">
      <c r="C187" t="s">
        <v>73</v>
      </c>
      <c r="D187" t="s">
        <v>74</v>
      </c>
      <c r="E187" t="s">
        <v>75</v>
      </c>
      <c r="F187" t="s">
        <v>15</v>
      </c>
      <c r="G187" t="s">
        <v>50</v>
      </c>
      <c r="H187" s="5">
        <v>61214.26</v>
      </c>
      <c r="I187" t="s">
        <v>26</v>
      </c>
      <c r="J187" s="6">
        <v>43171</v>
      </c>
      <c r="K187">
        <v>1</v>
      </c>
      <c r="L187" t="s">
        <v>76</v>
      </c>
      <c r="M187" t="s">
        <v>77</v>
      </c>
      <c r="N187" s="9">
        <v>6.2821917808219174</v>
      </c>
      <c r="O187" t="s">
        <v>20</v>
      </c>
    </row>
    <row r="188" spans="3:15" x14ac:dyDescent="0.25">
      <c r="C188" t="s">
        <v>657</v>
      </c>
      <c r="D188" t="s">
        <v>658</v>
      </c>
      <c r="E188" t="s">
        <v>659</v>
      </c>
      <c r="F188" t="s">
        <v>24</v>
      </c>
      <c r="G188" t="s">
        <v>131</v>
      </c>
      <c r="H188" s="5">
        <v>61213.01</v>
      </c>
      <c r="I188" t="s">
        <v>26</v>
      </c>
      <c r="J188" s="6">
        <v>44365</v>
      </c>
      <c r="K188">
        <v>1</v>
      </c>
      <c r="L188" t="s">
        <v>18</v>
      </c>
      <c r="M188" t="s">
        <v>84</v>
      </c>
      <c r="N188" s="9">
        <v>3.010958904109589</v>
      </c>
      <c r="O188" t="s">
        <v>20</v>
      </c>
    </row>
    <row r="189" spans="3:15" x14ac:dyDescent="0.25">
      <c r="C189" t="s">
        <v>228</v>
      </c>
      <c r="D189" t="s">
        <v>229</v>
      </c>
      <c r="E189" t="s">
        <v>230</v>
      </c>
      <c r="F189" t="s">
        <v>24</v>
      </c>
      <c r="G189" t="s">
        <v>58</v>
      </c>
      <c r="H189" s="5">
        <v>59434.18</v>
      </c>
      <c r="I189" t="s">
        <v>26</v>
      </c>
      <c r="J189" s="6">
        <v>43931</v>
      </c>
      <c r="K189">
        <v>1</v>
      </c>
      <c r="L189" t="s">
        <v>76</v>
      </c>
      <c r="M189" t="s">
        <v>27</v>
      </c>
      <c r="N189" s="9">
        <v>4.2</v>
      </c>
      <c r="O189" t="s">
        <v>20</v>
      </c>
    </row>
    <row r="190" spans="3:15" x14ac:dyDescent="0.25">
      <c r="C190" t="s">
        <v>327</v>
      </c>
      <c r="D190" t="s">
        <v>328</v>
      </c>
      <c r="E190" t="s">
        <v>329</v>
      </c>
      <c r="F190" t="s">
        <v>15</v>
      </c>
      <c r="G190" t="s">
        <v>50</v>
      </c>
      <c r="H190" s="5">
        <v>59258.19</v>
      </c>
      <c r="I190" t="s">
        <v>26</v>
      </c>
      <c r="J190" s="6">
        <v>43452</v>
      </c>
      <c r="K190">
        <v>0.8</v>
      </c>
      <c r="L190" t="s">
        <v>18</v>
      </c>
      <c r="M190" t="s">
        <v>27</v>
      </c>
      <c r="N190" s="9">
        <v>5.5123287671232877</v>
      </c>
      <c r="O190" t="s">
        <v>28</v>
      </c>
    </row>
    <row r="191" spans="3:15" x14ac:dyDescent="0.25">
      <c r="C191" t="s">
        <v>327</v>
      </c>
      <c r="D191" t="s">
        <v>328</v>
      </c>
      <c r="E191" t="s">
        <v>329</v>
      </c>
      <c r="F191" t="s">
        <v>15</v>
      </c>
      <c r="G191" t="s">
        <v>50</v>
      </c>
      <c r="H191" s="5">
        <v>59258.19</v>
      </c>
      <c r="I191" t="s">
        <v>26</v>
      </c>
      <c r="J191" s="6">
        <v>43452</v>
      </c>
      <c r="K191">
        <v>0.8</v>
      </c>
      <c r="L191" t="s">
        <v>18</v>
      </c>
      <c r="M191" t="s">
        <v>27</v>
      </c>
      <c r="N191" s="9">
        <v>5.5123287671232877</v>
      </c>
      <c r="O191" t="s">
        <v>28</v>
      </c>
    </row>
    <row r="192" spans="3:15" x14ac:dyDescent="0.25">
      <c r="C192" t="s">
        <v>171</v>
      </c>
      <c r="D192" t="s">
        <v>172</v>
      </c>
      <c r="E192" t="s">
        <v>173</v>
      </c>
      <c r="F192" t="s">
        <v>24</v>
      </c>
      <c r="G192" t="s">
        <v>50</v>
      </c>
      <c r="H192" s="5">
        <v>58935.92</v>
      </c>
      <c r="I192" t="s">
        <v>26</v>
      </c>
      <c r="J192" s="6">
        <v>43717</v>
      </c>
      <c r="K192">
        <v>1</v>
      </c>
      <c r="L192" t="s">
        <v>76</v>
      </c>
      <c r="M192" t="s">
        <v>41</v>
      </c>
      <c r="N192" s="9">
        <v>4.7863013698630139</v>
      </c>
      <c r="O192" t="s">
        <v>20</v>
      </c>
    </row>
    <row r="193" spans="3:15" x14ac:dyDescent="0.25">
      <c r="C193" t="s">
        <v>533</v>
      </c>
      <c r="D193" t="s">
        <v>534</v>
      </c>
      <c r="E193" t="s">
        <v>535</v>
      </c>
      <c r="F193" t="s">
        <v>24</v>
      </c>
      <c r="G193" t="s">
        <v>16</v>
      </c>
      <c r="H193" s="5">
        <v>58861.19</v>
      </c>
      <c r="I193" t="s">
        <v>26</v>
      </c>
      <c r="J193" s="6">
        <v>43654</v>
      </c>
      <c r="K193">
        <v>1</v>
      </c>
      <c r="L193" t="s">
        <v>18</v>
      </c>
      <c r="M193" t="s">
        <v>72</v>
      </c>
      <c r="N193" s="9">
        <v>4.9589041095890414</v>
      </c>
      <c r="O193" t="s">
        <v>20</v>
      </c>
    </row>
    <row r="194" spans="3:15" x14ac:dyDescent="0.25">
      <c r="C194" t="s">
        <v>536</v>
      </c>
      <c r="D194" t="s">
        <v>537</v>
      </c>
      <c r="E194" t="s">
        <v>538</v>
      </c>
      <c r="F194" t="s">
        <v>24</v>
      </c>
      <c r="G194" t="s">
        <v>36</v>
      </c>
      <c r="H194" s="5">
        <v>58744.17</v>
      </c>
      <c r="I194" t="s">
        <v>26</v>
      </c>
      <c r="J194" s="6">
        <v>43171</v>
      </c>
      <c r="K194">
        <v>1</v>
      </c>
      <c r="L194" t="s">
        <v>76</v>
      </c>
      <c r="M194" t="s">
        <v>72</v>
      </c>
      <c r="N194" s="9">
        <v>6.2821917808219174</v>
      </c>
      <c r="O194" t="s">
        <v>20</v>
      </c>
    </row>
    <row r="195" spans="3:15" x14ac:dyDescent="0.25">
      <c r="C195" t="s">
        <v>581</v>
      </c>
      <c r="D195" t="s">
        <v>582</v>
      </c>
      <c r="E195" t="s">
        <v>583</v>
      </c>
      <c r="F195" t="s">
        <v>15</v>
      </c>
      <c r="G195" t="s">
        <v>101</v>
      </c>
      <c r="H195" s="5">
        <v>57925.91</v>
      </c>
      <c r="I195" t="s">
        <v>26</v>
      </c>
      <c r="J195" s="6">
        <v>43572</v>
      </c>
      <c r="K195">
        <v>0.5</v>
      </c>
      <c r="L195" t="s">
        <v>18</v>
      </c>
      <c r="M195" t="s">
        <v>45</v>
      </c>
      <c r="N195" s="9">
        <v>5.183561643835616</v>
      </c>
      <c r="O195" t="s">
        <v>28</v>
      </c>
    </row>
    <row r="196" spans="3:15" x14ac:dyDescent="0.25">
      <c r="C196" t="s">
        <v>177</v>
      </c>
      <c r="D196" t="s">
        <v>178</v>
      </c>
      <c r="E196" t="s">
        <v>179</v>
      </c>
      <c r="F196" t="s">
        <v>15</v>
      </c>
      <c r="G196" t="s">
        <v>101</v>
      </c>
      <c r="H196" s="5">
        <v>57419.35</v>
      </c>
      <c r="I196" t="s">
        <v>26</v>
      </c>
      <c r="J196" s="6">
        <v>43305</v>
      </c>
      <c r="K196">
        <v>1</v>
      </c>
      <c r="L196" t="s">
        <v>37</v>
      </c>
      <c r="M196" t="s">
        <v>77</v>
      </c>
      <c r="N196" s="9">
        <v>5.9150684931506845</v>
      </c>
      <c r="O196" t="s">
        <v>20</v>
      </c>
    </row>
    <row r="197" spans="3:15" x14ac:dyDescent="0.25">
      <c r="C197" t="s">
        <v>38</v>
      </c>
      <c r="D197" t="s">
        <v>39</v>
      </c>
      <c r="E197" t="s">
        <v>40</v>
      </c>
      <c r="F197" t="s">
        <v>24</v>
      </c>
      <c r="G197" t="s">
        <v>36</v>
      </c>
      <c r="H197" s="5">
        <v>57002.02</v>
      </c>
      <c r="I197" t="s">
        <v>26</v>
      </c>
      <c r="J197" s="6">
        <v>43192</v>
      </c>
      <c r="K197">
        <v>0.7</v>
      </c>
      <c r="L197" t="s">
        <v>18</v>
      </c>
      <c r="M197" t="s">
        <v>41</v>
      </c>
      <c r="N197" s="9">
        <v>6.2246575342465755</v>
      </c>
      <c r="O197" t="s">
        <v>28</v>
      </c>
    </row>
    <row r="198" spans="3:15" x14ac:dyDescent="0.25">
      <c r="C198" t="s">
        <v>685</v>
      </c>
      <c r="D198" t="s">
        <v>686</v>
      </c>
      <c r="E198" t="s">
        <v>687</v>
      </c>
      <c r="F198" t="s">
        <v>24</v>
      </c>
      <c r="G198" t="s">
        <v>36</v>
      </c>
      <c r="H198" s="5">
        <v>56253.81</v>
      </c>
      <c r="I198" t="s">
        <v>26</v>
      </c>
      <c r="J198" s="6">
        <v>44421</v>
      </c>
      <c r="K198">
        <v>1</v>
      </c>
      <c r="L198" t="s">
        <v>18</v>
      </c>
      <c r="M198" t="s">
        <v>77</v>
      </c>
      <c r="N198" s="9">
        <v>2.8575342465753426</v>
      </c>
      <c r="O198" t="s">
        <v>20</v>
      </c>
    </row>
    <row r="199" spans="3:15" x14ac:dyDescent="0.25">
      <c r="C199" t="s">
        <v>78</v>
      </c>
      <c r="D199" t="s">
        <v>79</v>
      </c>
      <c r="E199" t="s">
        <v>80</v>
      </c>
      <c r="F199" t="s">
        <v>15</v>
      </c>
      <c r="G199" t="s">
        <v>50</v>
      </c>
      <c r="H199" s="5">
        <v>54137.05</v>
      </c>
      <c r="I199" t="s">
        <v>26</v>
      </c>
      <c r="J199" s="6">
        <v>43763</v>
      </c>
      <c r="K199">
        <v>1</v>
      </c>
      <c r="L199" t="s">
        <v>18</v>
      </c>
      <c r="M199" t="s">
        <v>19</v>
      </c>
      <c r="N199" s="9">
        <v>4.6602739726027398</v>
      </c>
      <c r="O199" t="s">
        <v>20</v>
      </c>
    </row>
    <row r="200" spans="3:15" x14ac:dyDescent="0.25">
      <c r="C200" t="s">
        <v>144</v>
      </c>
      <c r="D200" t="s">
        <v>145</v>
      </c>
      <c r="E200" t="s">
        <v>146</v>
      </c>
      <c r="F200" t="s">
        <v>15</v>
      </c>
      <c r="G200" t="s">
        <v>36</v>
      </c>
      <c r="H200" s="5">
        <v>53949.26</v>
      </c>
      <c r="I200" t="s">
        <v>26</v>
      </c>
      <c r="J200" s="6">
        <v>43808</v>
      </c>
      <c r="K200">
        <v>1</v>
      </c>
      <c r="L200" t="s">
        <v>76</v>
      </c>
      <c r="M200" t="s">
        <v>72</v>
      </c>
      <c r="N200" s="9">
        <v>4.536986301369863</v>
      </c>
      <c r="O200" t="s">
        <v>20</v>
      </c>
    </row>
    <row r="201" spans="3:15" x14ac:dyDescent="0.25">
      <c r="C201" t="s">
        <v>144</v>
      </c>
      <c r="D201" t="s">
        <v>145</v>
      </c>
      <c r="E201" t="s">
        <v>146</v>
      </c>
      <c r="F201" t="s">
        <v>15</v>
      </c>
      <c r="G201" t="s">
        <v>36</v>
      </c>
      <c r="H201" s="5">
        <v>53949.26</v>
      </c>
      <c r="I201" t="s">
        <v>26</v>
      </c>
      <c r="J201" s="6">
        <v>43808</v>
      </c>
      <c r="K201">
        <v>1</v>
      </c>
      <c r="L201" t="s">
        <v>76</v>
      </c>
      <c r="M201" t="s">
        <v>72</v>
      </c>
      <c r="N201" s="9">
        <v>4.536986301369863</v>
      </c>
      <c r="O201" t="s">
        <v>20</v>
      </c>
    </row>
    <row r="202" spans="3:15" x14ac:dyDescent="0.25">
      <c r="C202" t="s">
        <v>572</v>
      </c>
      <c r="D202" t="s">
        <v>573</v>
      </c>
      <c r="E202" t="s">
        <v>574</v>
      </c>
      <c r="F202" t="s">
        <v>15</v>
      </c>
      <c r="G202" t="s">
        <v>54</v>
      </c>
      <c r="H202" s="5">
        <v>53535.62</v>
      </c>
      <c r="I202" t="s">
        <v>26</v>
      </c>
      <c r="J202" s="6">
        <v>44110</v>
      </c>
      <c r="K202">
        <v>0.5</v>
      </c>
      <c r="L202" t="s">
        <v>37</v>
      </c>
      <c r="M202" t="s">
        <v>27</v>
      </c>
      <c r="N202" s="9">
        <v>3.7095890410958905</v>
      </c>
      <c r="O202" t="s">
        <v>28</v>
      </c>
    </row>
    <row r="203" spans="3:15" x14ac:dyDescent="0.25">
      <c r="C203" t="s">
        <v>587</v>
      </c>
      <c r="D203" t="s">
        <v>588</v>
      </c>
      <c r="E203" t="s">
        <v>589</v>
      </c>
      <c r="F203" t="s">
        <v>15</v>
      </c>
      <c r="G203" t="s">
        <v>16</v>
      </c>
      <c r="H203" s="5">
        <v>53184.02</v>
      </c>
      <c r="I203" t="s">
        <v>26</v>
      </c>
      <c r="J203" s="6">
        <v>43180</v>
      </c>
      <c r="K203">
        <v>1</v>
      </c>
      <c r="L203" t="s">
        <v>37</v>
      </c>
      <c r="M203" t="s">
        <v>19</v>
      </c>
      <c r="N203" s="9">
        <v>6.2575342465753421</v>
      </c>
      <c r="O203" t="s">
        <v>20</v>
      </c>
    </row>
    <row r="204" spans="3:15" x14ac:dyDescent="0.25">
      <c r="C204" t="s">
        <v>98</v>
      </c>
      <c r="D204" t="s">
        <v>99</v>
      </c>
      <c r="E204" t="s">
        <v>100</v>
      </c>
      <c r="F204" t="s">
        <v>15</v>
      </c>
      <c r="G204" t="s">
        <v>101</v>
      </c>
      <c r="H204" s="5">
        <v>52963.65</v>
      </c>
      <c r="I204" t="s">
        <v>26</v>
      </c>
      <c r="J204" s="6">
        <v>44288</v>
      </c>
      <c r="K204">
        <v>0.3</v>
      </c>
      <c r="L204" t="s">
        <v>18</v>
      </c>
      <c r="M204" t="s">
        <v>72</v>
      </c>
      <c r="N204" s="9">
        <v>3.2219178082191782</v>
      </c>
      <c r="O204" t="s">
        <v>28</v>
      </c>
    </row>
    <row r="205" spans="3:15" x14ac:dyDescent="0.25">
      <c r="C205" t="s">
        <v>91</v>
      </c>
      <c r="D205" t="s">
        <v>92</v>
      </c>
      <c r="E205" t="s">
        <v>93</v>
      </c>
      <c r="F205" t="s">
        <v>15</v>
      </c>
      <c r="G205" t="s">
        <v>58</v>
      </c>
      <c r="H205" s="5">
        <v>52748.63</v>
      </c>
      <c r="I205" t="s">
        <v>26</v>
      </c>
      <c r="J205" s="6">
        <v>43857</v>
      </c>
      <c r="K205">
        <v>1</v>
      </c>
      <c r="L205" t="s">
        <v>18</v>
      </c>
      <c r="M205" t="s">
        <v>84</v>
      </c>
      <c r="N205" s="9">
        <v>4.4027397260273968</v>
      </c>
      <c r="O205" t="s">
        <v>20</v>
      </c>
    </row>
    <row r="206" spans="3:15" x14ac:dyDescent="0.25">
      <c r="C206" t="s">
        <v>513</v>
      </c>
      <c r="D206" t="s">
        <v>514</v>
      </c>
      <c r="E206" t="s">
        <v>515</v>
      </c>
      <c r="F206" t="s">
        <v>15</v>
      </c>
      <c r="G206" t="s">
        <v>101</v>
      </c>
      <c r="H206" s="5">
        <v>52270.22</v>
      </c>
      <c r="I206" t="s">
        <v>26</v>
      </c>
      <c r="J206" s="6">
        <v>43521</v>
      </c>
      <c r="K206">
        <v>0.3</v>
      </c>
      <c r="L206" t="s">
        <v>18</v>
      </c>
      <c r="M206" t="s">
        <v>84</v>
      </c>
      <c r="N206" s="9">
        <v>5.3232876712328769</v>
      </c>
      <c r="O206" t="s">
        <v>28</v>
      </c>
    </row>
    <row r="207" spans="3:15" x14ac:dyDescent="0.25">
      <c r="C207" t="s">
        <v>125</v>
      </c>
      <c r="D207" t="s">
        <v>126</v>
      </c>
      <c r="E207" t="s">
        <v>127</v>
      </c>
      <c r="F207" t="s">
        <v>15</v>
      </c>
      <c r="G207" t="s">
        <v>101</v>
      </c>
      <c r="H207" s="5">
        <v>52246.29</v>
      </c>
      <c r="I207" t="s">
        <v>26</v>
      </c>
      <c r="J207" s="6">
        <v>43573</v>
      </c>
      <c r="K207">
        <v>1</v>
      </c>
      <c r="L207" t="s">
        <v>76</v>
      </c>
      <c r="M207" t="s">
        <v>45</v>
      </c>
      <c r="N207" s="9">
        <v>5.1808219178082195</v>
      </c>
      <c r="O207" t="s">
        <v>20</v>
      </c>
    </row>
    <row r="208" spans="3:15" x14ac:dyDescent="0.25">
      <c r="C208" t="s">
        <v>688</v>
      </c>
      <c r="D208" t="s">
        <v>689</v>
      </c>
      <c r="E208" t="s">
        <v>690</v>
      </c>
      <c r="F208" t="s">
        <v>24</v>
      </c>
      <c r="G208" t="s">
        <v>124</v>
      </c>
      <c r="H208" s="5">
        <v>51798.25</v>
      </c>
      <c r="I208" t="s">
        <v>26</v>
      </c>
      <c r="J208" s="6">
        <v>43665</v>
      </c>
      <c r="K208">
        <v>1</v>
      </c>
      <c r="L208" t="s">
        <v>18</v>
      </c>
      <c r="M208" t="s">
        <v>41</v>
      </c>
      <c r="N208" s="9">
        <v>4.9287671232876713</v>
      </c>
      <c r="O208" t="s">
        <v>20</v>
      </c>
    </row>
    <row r="209" spans="3:15" x14ac:dyDescent="0.25">
      <c r="C209" t="s">
        <v>249</v>
      </c>
      <c r="D209" t="s">
        <v>250</v>
      </c>
      <c r="E209" t="s">
        <v>251</v>
      </c>
      <c r="F209" t="s">
        <v>24</v>
      </c>
      <c r="G209" t="s">
        <v>16</v>
      </c>
      <c r="H209" s="5">
        <v>51165.37</v>
      </c>
      <c r="I209" t="s">
        <v>26</v>
      </c>
      <c r="J209" s="6">
        <v>44237</v>
      </c>
      <c r="K209">
        <v>1</v>
      </c>
      <c r="L209" t="s">
        <v>37</v>
      </c>
      <c r="M209" t="s">
        <v>41</v>
      </c>
      <c r="N209" s="9">
        <v>3.3616438356164382</v>
      </c>
      <c r="O209" t="s">
        <v>20</v>
      </c>
    </row>
    <row r="210" spans="3:15" x14ac:dyDescent="0.25">
      <c r="C210" t="s">
        <v>213</v>
      </c>
      <c r="D210" t="s">
        <v>214</v>
      </c>
      <c r="E210" t="s">
        <v>215</v>
      </c>
      <c r="F210" t="s">
        <v>15</v>
      </c>
      <c r="G210" t="s">
        <v>16</v>
      </c>
      <c r="H210" s="5">
        <v>50855.53</v>
      </c>
      <c r="I210" t="s">
        <v>26</v>
      </c>
      <c r="J210" s="6">
        <v>44221</v>
      </c>
      <c r="K210">
        <v>1</v>
      </c>
      <c r="L210" t="s">
        <v>18</v>
      </c>
      <c r="M210" t="s">
        <v>45</v>
      </c>
      <c r="N210" s="9">
        <v>3.4054794520547946</v>
      </c>
      <c r="O210" t="s">
        <v>20</v>
      </c>
    </row>
    <row r="211" spans="3:15" x14ac:dyDescent="0.25">
      <c r="C211" t="s">
        <v>141</v>
      </c>
      <c r="D211" t="s">
        <v>142</v>
      </c>
      <c r="E211" t="s">
        <v>143</v>
      </c>
      <c r="F211" t="s">
        <v>24</v>
      </c>
      <c r="G211" t="s">
        <v>58</v>
      </c>
      <c r="H211" s="5">
        <v>50449.46</v>
      </c>
      <c r="I211" t="s">
        <v>26</v>
      </c>
      <c r="J211" s="6">
        <v>43418</v>
      </c>
      <c r="K211">
        <v>0.8</v>
      </c>
      <c r="L211" t="s">
        <v>18</v>
      </c>
      <c r="M211" t="s">
        <v>77</v>
      </c>
      <c r="N211" s="9">
        <v>5.6054794520547944</v>
      </c>
      <c r="O211" t="s">
        <v>28</v>
      </c>
    </row>
    <row r="212" spans="3:15" x14ac:dyDescent="0.25">
      <c r="C212" t="s">
        <v>94</v>
      </c>
      <c r="D212" t="s">
        <v>95</v>
      </c>
      <c r="E212" t="s">
        <v>96</v>
      </c>
      <c r="F212" t="s">
        <v>15</v>
      </c>
      <c r="G212" t="s">
        <v>97</v>
      </c>
      <c r="H212" s="5">
        <v>50310.09</v>
      </c>
      <c r="I212" t="s">
        <v>26</v>
      </c>
      <c r="J212" s="6">
        <v>44285</v>
      </c>
      <c r="K212">
        <v>0.4</v>
      </c>
      <c r="L212" t="s">
        <v>18</v>
      </c>
      <c r="M212" t="s">
        <v>41</v>
      </c>
      <c r="N212" s="9">
        <v>3.2301369863013698</v>
      </c>
      <c r="O212" t="s">
        <v>28</v>
      </c>
    </row>
    <row r="213" spans="3:15" x14ac:dyDescent="0.25">
      <c r="C213" t="s">
        <v>351</v>
      </c>
      <c r="D213" t="s">
        <v>352</v>
      </c>
      <c r="E213" t="s">
        <v>353</v>
      </c>
      <c r="F213" t="s">
        <v>15</v>
      </c>
      <c r="G213" t="s">
        <v>101</v>
      </c>
      <c r="H213" s="5">
        <v>49915.14</v>
      </c>
      <c r="I213" t="s">
        <v>65</v>
      </c>
      <c r="J213" s="6">
        <v>43550</v>
      </c>
      <c r="K213">
        <v>1</v>
      </c>
      <c r="L213" t="s">
        <v>18</v>
      </c>
      <c r="M213" t="s">
        <v>19</v>
      </c>
      <c r="N213" s="9">
        <v>5.2438356164383562</v>
      </c>
      <c r="O213" t="s">
        <v>20</v>
      </c>
    </row>
    <row r="214" spans="3:15" x14ac:dyDescent="0.25">
      <c r="C214" t="s">
        <v>636</v>
      </c>
      <c r="D214" t="s">
        <v>637</v>
      </c>
      <c r="E214" t="s">
        <v>638</v>
      </c>
      <c r="F214" t="s">
        <v>24</v>
      </c>
      <c r="G214" t="s">
        <v>124</v>
      </c>
      <c r="H214" s="5">
        <v>49625.64</v>
      </c>
      <c r="I214" t="s">
        <v>65</v>
      </c>
      <c r="J214" s="6">
        <v>44384</v>
      </c>
      <c r="K214">
        <v>0.5</v>
      </c>
      <c r="L214" t="s">
        <v>37</v>
      </c>
      <c r="M214" t="s">
        <v>19</v>
      </c>
      <c r="N214" s="9">
        <v>2.9589041095890409</v>
      </c>
      <c r="O214" t="s">
        <v>28</v>
      </c>
    </row>
    <row r="215" spans="3:15" x14ac:dyDescent="0.25">
      <c r="C215" t="s">
        <v>672</v>
      </c>
      <c r="D215" t="s">
        <v>673</v>
      </c>
      <c r="E215" t="s">
        <v>674</v>
      </c>
      <c r="F215" t="s">
        <v>15</v>
      </c>
      <c r="G215" t="s">
        <v>97</v>
      </c>
      <c r="H215" s="5">
        <v>48525.71</v>
      </c>
      <c r="I215" t="s">
        <v>65</v>
      </c>
      <c r="J215" s="6">
        <v>43264</v>
      </c>
      <c r="K215">
        <v>1</v>
      </c>
      <c r="L215" t="s">
        <v>18</v>
      </c>
      <c r="M215" t="s">
        <v>41</v>
      </c>
      <c r="N215" s="9">
        <v>6.0273972602739727</v>
      </c>
      <c r="O215" t="s">
        <v>20</v>
      </c>
    </row>
    <row r="216" spans="3:15" x14ac:dyDescent="0.25">
      <c r="C216" t="s">
        <v>463</v>
      </c>
      <c r="D216" t="s">
        <v>464</v>
      </c>
      <c r="E216" t="s">
        <v>465</v>
      </c>
      <c r="F216" t="s">
        <v>15</v>
      </c>
      <c r="G216" t="s">
        <v>32</v>
      </c>
      <c r="H216" s="5">
        <v>47646.95</v>
      </c>
      <c r="I216" t="s">
        <v>65</v>
      </c>
      <c r="J216" s="6">
        <v>43791</v>
      </c>
      <c r="K216">
        <v>0.3</v>
      </c>
      <c r="L216" t="s">
        <v>37</v>
      </c>
      <c r="M216" t="s">
        <v>84</v>
      </c>
      <c r="N216" s="9">
        <v>4.5835616438356164</v>
      </c>
      <c r="O216" t="s">
        <v>28</v>
      </c>
    </row>
    <row r="217" spans="3:15" x14ac:dyDescent="0.25">
      <c r="C217" t="s">
        <v>728</v>
      </c>
      <c r="D217" t="s">
        <v>729</v>
      </c>
      <c r="E217" t="s">
        <v>730</v>
      </c>
      <c r="F217" t="s">
        <v>24</v>
      </c>
      <c r="G217" t="s">
        <v>105</v>
      </c>
      <c r="H217" s="5">
        <v>47551.89</v>
      </c>
      <c r="I217" t="s">
        <v>65</v>
      </c>
      <c r="J217" s="6">
        <v>43468</v>
      </c>
      <c r="K217">
        <v>1</v>
      </c>
      <c r="L217" t="s">
        <v>18</v>
      </c>
      <c r="M217" t="s">
        <v>77</v>
      </c>
      <c r="N217" s="9">
        <v>5.4684931506849317</v>
      </c>
      <c r="O217" t="s">
        <v>20</v>
      </c>
    </row>
    <row r="218" spans="3:15" x14ac:dyDescent="0.25">
      <c r="C218" t="s">
        <v>306</v>
      </c>
      <c r="D218" t="s">
        <v>307</v>
      </c>
      <c r="E218" t="s">
        <v>308</v>
      </c>
      <c r="F218" t="s">
        <v>15</v>
      </c>
      <c r="G218" t="s">
        <v>16</v>
      </c>
      <c r="H218" s="5">
        <v>47362.62</v>
      </c>
      <c r="I218" t="s">
        <v>65</v>
      </c>
      <c r="J218" s="6">
        <v>43973</v>
      </c>
      <c r="K218">
        <v>1</v>
      </c>
      <c r="L218" t="s">
        <v>76</v>
      </c>
      <c r="M218" t="s">
        <v>19</v>
      </c>
      <c r="N218" s="9">
        <v>4.0849315068493155</v>
      </c>
      <c r="O218" t="s">
        <v>20</v>
      </c>
    </row>
    <row r="219" spans="3:15" x14ac:dyDescent="0.25">
      <c r="C219" t="s">
        <v>663</v>
      </c>
      <c r="D219" t="s">
        <v>664</v>
      </c>
      <c r="E219" t="s">
        <v>665</v>
      </c>
      <c r="F219" t="s">
        <v>24</v>
      </c>
      <c r="G219" t="s">
        <v>58</v>
      </c>
      <c r="H219" s="5">
        <v>46751.7</v>
      </c>
      <c r="I219" t="s">
        <v>65</v>
      </c>
      <c r="J219" s="6">
        <v>43843</v>
      </c>
      <c r="K219">
        <v>1</v>
      </c>
      <c r="L219" t="s">
        <v>37</v>
      </c>
      <c r="M219" t="s">
        <v>41</v>
      </c>
      <c r="N219" s="9">
        <v>4.441095890410959</v>
      </c>
      <c r="O219" t="s">
        <v>20</v>
      </c>
    </row>
    <row r="220" spans="3:15" x14ac:dyDescent="0.25">
      <c r="C220" t="s">
        <v>333</v>
      </c>
      <c r="D220" t="s">
        <v>334</v>
      </c>
      <c r="E220" t="s">
        <v>335</v>
      </c>
      <c r="F220" t="s">
        <v>24</v>
      </c>
      <c r="G220" t="s">
        <v>101</v>
      </c>
      <c r="H220" s="5">
        <v>44845.33</v>
      </c>
      <c r="I220" t="s">
        <v>65</v>
      </c>
      <c r="J220" s="6">
        <v>43277</v>
      </c>
      <c r="K220">
        <v>1</v>
      </c>
      <c r="L220" t="s">
        <v>18</v>
      </c>
      <c r="M220" t="s">
        <v>27</v>
      </c>
      <c r="N220" s="9">
        <v>5.9917808219178079</v>
      </c>
      <c r="O220" t="s">
        <v>20</v>
      </c>
    </row>
    <row r="221" spans="3:15" x14ac:dyDescent="0.25">
      <c r="C221" t="s">
        <v>407</v>
      </c>
      <c r="D221" t="s">
        <v>408</v>
      </c>
      <c r="E221" t="s">
        <v>409</v>
      </c>
      <c r="F221" t="s">
        <v>24</v>
      </c>
      <c r="G221" t="s">
        <v>58</v>
      </c>
      <c r="H221" s="5">
        <v>44447.26</v>
      </c>
      <c r="I221" t="s">
        <v>65</v>
      </c>
      <c r="J221" s="6">
        <v>43846</v>
      </c>
      <c r="K221">
        <v>0.4</v>
      </c>
      <c r="L221" t="s">
        <v>18</v>
      </c>
      <c r="M221" t="s">
        <v>27</v>
      </c>
      <c r="N221" s="9">
        <v>4.4328767123287669</v>
      </c>
      <c r="O221" t="s">
        <v>28</v>
      </c>
    </row>
    <row r="222" spans="3:15" x14ac:dyDescent="0.25">
      <c r="C222" t="s">
        <v>183</v>
      </c>
      <c r="D222" t="s">
        <v>184</v>
      </c>
      <c r="E222" t="s">
        <v>185</v>
      </c>
      <c r="F222" t="s">
        <v>24</v>
      </c>
      <c r="G222" t="s">
        <v>16</v>
      </c>
      <c r="H222" s="5">
        <v>44403.77</v>
      </c>
      <c r="I222" t="s">
        <v>65</v>
      </c>
      <c r="J222" s="6">
        <v>43416</v>
      </c>
      <c r="K222">
        <v>1</v>
      </c>
      <c r="L222" t="s">
        <v>18</v>
      </c>
      <c r="M222" t="s">
        <v>41</v>
      </c>
      <c r="N222" s="9">
        <v>5.6109589041095891</v>
      </c>
      <c r="O222" t="s">
        <v>20</v>
      </c>
    </row>
    <row r="223" spans="3:15" x14ac:dyDescent="0.25">
      <c r="C223" t="s">
        <v>106</v>
      </c>
      <c r="D223" t="s">
        <v>107</v>
      </c>
      <c r="E223" t="s">
        <v>108</v>
      </c>
      <c r="F223" t="s">
        <v>15</v>
      </c>
      <c r="G223" t="s">
        <v>16</v>
      </c>
      <c r="H223" s="5">
        <v>43329.22</v>
      </c>
      <c r="I223" t="s">
        <v>65</v>
      </c>
      <c r="J223" s="6">
        <v>43809</v>
      </c>
      <c r="K223">
        <v>0.5</v>
      </c>
      <c r="L223" t="s">
        <v>37</v>
      </c>
      <c r="M223" t="s">
        <v>19</v>
      </c>
      <c r="N223" s="9">
        <v>4.5342465753424657</v>
      </c>
      <c r="O223" t="s">
        <v>28</v>
      </c>
    </row>
    <row r="224" spans="3:15" x14ac:dyDescent="0.25">
      <c r="C224" t="s">
        <v>62</v>
      </c>
      <c r="D224" t="s">
        <v>63</v>
      </c>
      <c r="E224" t="s">
        <v>64</v>
      </c>
      <c r="F224" t="s">
        <v>24</v>
      </c>
      <c r="G224" t="s">
        <v>32</v>
      </c>
      <c r="H224" s="5">
        <v>42314.39</v>
      </c>
      <c r="I224" t="s">
        <v>65</v>
      </c>
      <c r="J224" s="6">
        <v>44487</v>
      </c>
      <c r="K224">
        <v>1</v>
      </c>
      <c r="L224" t="s">
        <v>37</v>
      </c>
      <c r="M224" t="s">
        <v>19</v>
      </c>
      <c r="N224" s="9">
        <v>2.6767123287671235</v>
      </c>
      <c r="O224" t="s">
        <v>20</v>
      </c>
    </row>
    <row r="225" spans="3:15" x14ac:dyDescent="0.25">
      <c r="C225" t="s">
        <v>345</v>
      </c>
      <c r="D225" t="s">
        <v>346</v>
      </c>
      <c r="E225" t="s">
        <v>347</v>
      </c>
      <c r="F225" t="s">
        <v>24</v>
      </c>
      <c r="G225" t="s">
        <v>32</v>
      </c>
      <c r="H225" s="5">
        <v>42161.77</v>
      </c>
      <c r="I225" t="s">
        <v>65</v>
      </c>
      <c r="J225" s="6">
        <v>43494</v>
      </c>
      <c r="K225">
        <v>1</v>
      </c>
      <c r="L225" t="s">
        <v>18</v>
      </c>
      <c r="M225" t="s">
        <v>77</v>
      </c>
      <c r="N225" s="9">
        <v>5.397260273972603</v>
      </c>
      <c r="O225" t="s">
        <v>20</v>
      </c>
    </row>
    <row r="226" spans="3:15" x14ac:dyDescent="0.25">
      <c r="C226" t="s">
        <v>575</v>
      </c>
      <c r="D226" t="s">
        <v>319</v>
      </c>
      <c r="E226" t="s">
        <v>320</v>
      </c>
      <c r="F226" t="s">
        <v>24</v>
      </c>
      <c r="G226" t="s">
        <v>105</v>
      </c>
      <c r="H226" s="5">
        <v>41934.71</v>
      </c>
      <c r="I226" t="s">
        <v>65</v>
      </c>
      <c r="J226" s="6">
        <v>43780</v>
      </c>
      <c r="K226">
        <v>1</v>
      </c>
      <c r="L226" t="s">
        <v>18</v>
      </c>
      <c r="M226" t="s">
        <v>19</v>
      </c>
      <c r="N226" s="9">
        <v>4.6136986301369864</v>
      </c>
      <c r="O226" t="s">
        <v>20</v>
      </c>
    </row>
    <row r="227" spans="3:15" x14ac:dyDescent="0.25">
      <c r="C227" t="s">
        <v>318</v>
      </c>
      <c r="D227" t="s">
        <v>319</v>
      </c>
      <c r="E227" t="s">
        <v>320</v>
      </c>
      <c r="F227" t="s">
        <v>24</v>
      </c>
      <c r="G227" t="s">
        <v>105</v>
      </c>
      <c r="H227" s="5">
        <v>41934.71</v>
      </c>
      <c r="I227" t="s">
        <v>65</v>
      </c>
      <c r="J227" s="6">
        <v>43943</v>
      </c>
      <c r="K227">
        <v>1</v>
      </c>
      <c r="L227" t="s">
        <v>18</v>
      </c>
      <c r="M227" t="s">
        <v>19</v>
      </c>
      <c r="N227" s="9">
        <v>4.1671232876712327</v>
      </c>
      <c r="O227" t="s">
        <v>20</v>
      </c>
    </row>
    <row r="228" spans="3:15" x14ac:dyDescent="0.25">
      <c r="C228" t="s">
        <v>186</v>
      </c>
      <c r="D228" t="s">
        <v>187</v>
      </c>
      <c r="E228" t="s">
        <v>188</v>
      </c>
      <c r="F228" t="s">
        <v>15</v>
      </c>
      <c r="G228" t="s">
        <v>54</v>
      </c>
      <c r="H228" s="5">
        <v>40753.54</v>
      </c>
      <c r="I228" t="s">
        <v>65</v>
      </c>
      <c r="J228" s="6">
        <v>43152</v>
      </c>
      <c r="K228">
        <v>0.6</v>
      </c>
      <c r="L228" t="s">
        <v>18</v>
      </c>
      <c r="M228" t="s">
        <v>45</v>
      </c>
      <c r="N228" s="9">
        <v>6.3342465753424655</v>
      </c>
      <c r="O228" t="s">
        <v>28</v>
      </c>
    </row>
    <row r="229" spans="3:15" x14ac:dyDescent="0.25">
      <c r="C229" t="s">
        <v>410</v>
      </c>
      <c r="D229" t="s">
        <v>411</v>
      </c>
      <c r="E229" t="s">
        <v>412</v>
      </c>
      <c r="F229" t="s">
        <v>15</v>
      </c>
      <c r="G229" t="s">
        <v>124</v>
      </c>
      <c r="H229" s="5">
        <v>40445.29</v>
      </c>
      <c r="I229" t="s">
        <v>65</v>
      </c>
      <c r="J229" s="6">
        <v>44393</v>
      </c>
      <c r="K229">
        <v>1</v>
      </c>
      <c r="L229" t="s">
        <v>18</v>
      </c>
      <c r="M229" t="s">
        <v>84</v>
      </c>
      <c r="N229" s="9">
        <v>2.9342465753424656</v>
      </c>
      <c r="O229" t="s">
        <v>20</v>
      </c>
    </row>
    <row r="230" spans="3:15" x14ac:dyDescent="0.25">
      <c r="C230" t="s">
        <v>410</v>
      </c>
      <c r="D230" t="s">
        <v>680</v>
      </c>
      <c r="E230" t="s">
        <v>681</v>
      </c>
      <c r="F230" t="s">
        <v>15</v>
      </c>
      <c r="G230" t="s">
        <v>124</v>
      </c>
      <c r="H230" s="5">
        <v>40445.29</v>
      </c>
      <c r="I230" t="s">
        <v>65</v>
      </c>
      <c r="J230" s="6">
        <v>44393</v>
      </c>
      <c r="K230">
        <v>1</v>
      </c>
      <c r="L230" t="s">
        <v>18</v>
      </c>
      <c r="M230" t="s">
        <v>84</v>
      </c>
      <c r="N230" s="9">
        <v>2.9342465753424656</v>
      </c>
      <c r="O230" t="s">
        <v>20</v>
      </c>
    </row>
    <row r="231" spans="3:15" x14ac:dyDescent="0.25">
      <c r="C231" t="s">
        <v>85</v>
      </c>
      <c r="D231" t="s">
        <v>86</v>
      </c>
      <c r="E231" t="s">
        <v>87</v>
      </c>
      <c r="F231" t="s">
        <v>15</v>
      </c>
      <c r="G231" t="s">
        <v>16</v>
      </c>
      <c r="H231" s="5">
        <v>39969.72</v>
      </c>
      <c r="I231" t="s">
        <v>65</v>
      </c>
      <c r="J231" s="6">
        <v>43444</v>
      </c>
      <c r="K231">
        <v>1</v>
      </c>
      <c r="L231" t="s">
        <v>76</v>
      </c>
      <c r="M231" t="s">
        <v>72</v>
      </c>
      <c r="N231" s="9">
        <v>5.5342465753424657</v>
      </c>
      <c r="O231" t="s">
        <v>20</v>
      </c>
    </row>
    <row r="232" spans="3:15" x14ac:dyDescent="0.25">
      <c r="C232" t="s">
        <v>377</v>
      </c>
      <c r="D232" t="s">
        <v>378</v>
      </c>
      <c r="E232" t="s">
        <v>379</v>
      </c>
      <c r="F232" t="s">
        <v>15</v>
      </c>
      <c r="G232" t="s">
        <v>25</v>
      </c>
      <c r="H232" s="5">
        <v>39784.239999999998</v>
      </c>
      <c r="I232" t="s">
        <v>65</v>
      </c>
      <c r="J232" s="6">
        <v>43465</v>
      </c>
      <c r="K232">
        <v>1</v>
      </c>
      <c r="L232" t="s">
        <v>37</v>
      </c>
      <c r="M232" t="s">
        <v>84</v>
      </c>
      <c r="N232" s="9">
        <v>5.4767123287671229</v>
      </c>
      <c r="O232" t="s">
        <v>20</v>
      </c>
    </row>
    <row r="233" spans="3:15" x14ac:dyDescent="0.25">
      <c r="C233" t="s">
        <v>207</v>
      </c>
      <c r="D233" t="s">
        <v>208</v>
      </c>
      <c r="E233" t="s">
        <v>209</v>
      </c>
      <c r="F233" t="s">
        <v>24</v>
      </c>
      <c r="G233" t="s">
        <v>58</v>
      </c>
      <c r="H233" s="5">
        <v>39700.82</v>
      </c>
      <c r="I233" t="s">
        <v>65</v>
      </c>
      <c r="J233" s="6">
        <v>44203</v>
      </c>
      <c r="K233">
        <v>0.8</v>
      </c>
      <c r="L233" t="s">
        <v>18</v>
      </c>
      <c r="M233" t="s">
        <v>84</v>
      </c>
      <c r="N233" s="9">
        <v>3.4547945205479453</v>
      </c>
      <c r="O233" t="s">
        <v>28</v>
      </c>
    </row>
    <row r="234" spans="3:15" x14ac:dyDescent="0.25">
      <c r="C234" t="s">
        <v>207</v>
      </c>
      <c r="D234" t="s">
        <v>592</v>
      </c>
      <c r="E234" t="s">
        <v>731</v>
      </c>
      <c r="F234" t="s">
        <v>24</v>
      </c>
      <c r="G234" t="s">
        <v>58</v>
      </c>
      <c r="H234" s="5">
        <v>39700.82</v>
      </c>
      <c r="I234" t="s">
        <v>65</v>
      </c>
      <c r="J234" s="6">
        <v>44203</v>
      </c>
      <c r="K234">
        <v>0.8</v>
      </c>
      <c r="L234" t="s">
        <v>18</v>
      </c>
      <c r="M234" t="s">
        <v>84</v>
      </c>
      <c r="N234" s="9">
        <v>3.4547945205479453</v>
      </c>
      <c r="O234" t="s">
        <v>28</v>
      </c>
    </row>
    <row r="235" spans="3:15" x14ac:dyDescent="0.25">
      <c r="C235" t="s">
        <v>469</v>
      </c>
      <c r="D235" t="s">
        <v>470</v>
      </c>
      <c r="E235" t="s">
        <v>471</v>
      </c>
      <c r="F235" t="s">
        <v>24</v>
      </c>
      <c r="G235" t="s">
        <v>105</v>
      </c>
      <c r="H235" s="5">
        <v>39535.49</v>
      </c>
      <c r="I235" t="s">
        <v>65</v>
      </c>
      <c r="J235" s="6">
        <v>43397</v>
      </c>
      <c r="K235">
        <v>0.3</v>
      </c>
      <c r="L235" t="s">
        <v>18</v>
      </c>
      <c r="M235" t="s">
        <v>19</v>
      </c>
      <c r="N235" s="9">
        <v>5.6630136986301371</v>
      </c>
      <c r="O235" t="s">
        <v>28</v>
      </c>
    </row>
    <row r="236" spans="3:15" x14ac:dyDescent="0.25">
      <c r="C236" t="s">
        <v>602</v>
      </c>
      <c r="D236" t="s">
        <v>603</v>
      </c>
      <c r="E236" t="s">
        <v>604</v>
      </c>
      <c r="F236" t="s">
        <v>15</v>
      </c>
      <c r="G236" t="s">
        <v>101</v>
      </c>
      <c r="H236" s="5">
        <v>38825.18</v>
      </c>
      <c r="I236" t="s">
        <v>65</v>
      </c>
      <c r="J236" s="6">
        <v>43696</v>
      </c>
      <c r="K236">
        <v>1</v>
      </c>
      <c r="L236" t="s">
        <v>76</v>
      </c>
      <c r="M236" t="s">
        <v>19</v>
      </c>
      <c r="N236" s="9">
        <v>4.8438356164383558</v>
      </c>
      <c r="O236" t="s">
        <v>20</v>
      </c>
    </row>
    <row r="237" spans="3:15" x14ac:dyDescent="0.25">
      <c r="C237" t="s">
        <v>210</v>
      </c>
      <c r="D237" t="s">
        <v>211</v>
      </c>
      <c r="E237" t="s">
        <v>212</v>
      </c>
      <c r="F237" t="s">
        <v>24</v>
      </c>
      <c r="G237" t="s">
        <v>124</v>
      </c>
      <c r="H237" s="5">
        <v>38438.239999999998</v>
      </c>
      <c r="I237" t="s">
        <v>65</v>
      </c>
      <c r="J237" s="6">
        <v>43962</v>
      </c>
      <c r="K237">
        <v>1</v>
      </c>
      <c r="L237" t="s">
        <v>18</v>
      </c>
      <c r="M237" t="s">
        <v>84</v>
      </c>
      <c r="N237" s="9">
        <v>4.1150684931506847</v>
      </c>
      <c r="O237" t="s">
        <v>20</v>
      </c>
    </row>
    <row r="238" spans="3:15" x14ac:dyDescent="0.25">
      <c r="C238" t="s">
        <v>210</v>
      </c>
      <c r="D238" t="s">
        <v>490</v>
      </c>
      <c r="E238" t="s">
        <v>491</v>
      </c>
      <c r="F238" t="s">
        <v>24</v>
      </c>
      <c r="G238" t="s">
        <v>124</v>
      </c>
      <c r="H238" s="5">
        <v>38438.239999999998</v>
      </c>
      <c r="I238" t="s">
        <v>65</v>
      </c>
      <c r="J238" s="6">
        <v>43962</v>
      </c>
      <c r="K238">
        <v>1</v>
      </c>
      <c r="L238" t="s">
        <v>18</v>
      </c>
      <c r="M238" t="s">
        <v>84</v>
      </c>
      <c r="N238" s="9">
        <v>4.1150684931506847</v>
      </c>
      <c r="O238" t="s">
        <v>20</v>
      </c>
    </row>
    <row r="239" spans="3:15" x14ac:dyDescent="0.25">
      <c r="C239" t="s">
        <v>81</v>
      </c>
      <c r="D239" t="s">
        <v>82</v>
      </c>
      <c r="E239" t="s">
        <v>83</v>
      </c>
      <c r="F239" t="s">
        <v>24</v>
      </c>
      <c r="G239" t="s">
        <v>36</v>
      </c>
      <c r="H239" s="5">
        <v>37902.35</v>
      </c>
      <c r="I239" t="s">
        <v>65</v>
      </c>
      <c r="J239" s="6">
        <v>43823</v>
      </c>
      <c r="K239">
        <v>1</v>
      </c>
      <c r="L239" t="s">
        <v>18</v>
      </c>
      <c r="M239" t="s">
        <v>84</v>
      </c>
      <c r="N239" s="9">
        <v>4.4958904109589044</v>
      </c>
      <c r="O239" t="s">
        <v>20</v>
      </c>
    </row>
    <row r="240" spans="3:15" x14ac:dyDescent="0.25">
      <c r="C240" t="s">
        <v>81</v>
      </c>
      <c r="D240" t="s">
        <v>437</v>
      </c>
      <c r="E240" t="s">
        <v>438</v>
      </c>
      <c r="F240" t="s">
        <v>24</v>
      </c>
      <c r="G240" t="s">
        <v>36</v>
      </c>
      <c r="H240" s="5">
        <v>37902.35</v>
      </c>
      <c r="I240" t="s">
        <v>65</v>
      </c>
      <c r="J240" s="6">
        <v>43823</v>
      </c>
      <c r="K240">
        <v>1</v>
      </c>
      <c r="L240" t="s">
        <v>18</v>
      </c>
      <c r="M240" t="s">
        <v>84</v>
      </c>
      <c r="N240" s="9">
        <v>4.4958904109589044</v>
      </c>
      <c r="O240" t="s">
        <v>20</v>
      </c>
    </row>
    <row r="241" spans="3:15" x14ac:dyDescent="0.25">
      <c r="C241" t="s">
        <v>216</v>
      </c>
      <c r="D241" t="s">
        <v>217</v>
      </c>
      <c r="E241" t="s">
        <v>218</v>
      </c>
      <c r="F241" t="s">
        <v>15</v>
      </c>
      <c r="G241" t="s">
        <v>54</v>
      </c>
      <c r="H241" s="5">
        <v>37362.300000000003</v>
      </c>
      <c r="I241" t="s">
        <v>65</v>
      </c>
      <c r="J241" s="6">
        <v>43642</v>
      </c>
      <c r="K241">
        <v>1</v>
      </c>
      <c r="L241" t="s">
        <v>18</v>
      </c>
      <c r="M241" t="s">
        <v>77</v>
      </c>
      <c r="N241" s="9">
        <v>4.9917808219178079</v>
      </c>
      <c r="O241" t="s">
        <v>20</v>
      </c>
    </row>
    <row r="242" spans="3:15" x14ac:dyDescent="0.2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25">
      <c r="C243" t="s">
        <v>642</v>
      </c>
      <c r="D243" t="s">
        <v>643</v>
      </c>
      <c r="E243" t="s">
        <v>644</v>
      </c>
      <c r="F243" t="s">
        <v>15</v>
      </c>
      <c r="G243" t="s">
        <v>50</v>
      </c>
      <c r="H243" s="5">
        <v>36714.379999999997</v>
      </c>
      <c r="I243" t="s">
        <v>65</v>
      </c>
      <c r="J243" s="6">
        <v>44175</v>
      </c>
      <c r="K243">
        <v>1</v>
      </c>
      <c r="L243" t="s">
        <v>18</v>
      </c>
      <c r="M243" t="s">
        <v>84</v>
      </c>
      <c r="N243" s="9">
        <v>3.5315068493150683</v>
      </c>
      <c r="O243" t="s">
        <v>20</v>
      </c>
    </row>
    <row r="244" spans="3:15" x14ac:dyDescent="0.25">
      <c r="C244" t="s">
        <v>389</v>
      </c>
      <c r="D244" t="s">
        <v>390</v>
      </c>
      <c r="E244" t="s">
        <v>391</v>
      </c>
      <c r="F244" t="s">
        <v>15</v>
      </c>
      <c r="G244" t="s">
        <v>101</v>
      </c>
      <c r="H244" s="5">
        <v>36547.58</v>
      </c>
      <c r="I244" t="s">
        <v>65</v>
      </c>
      <c r="J244" s="6">
        <v>43416</v>
      </c>
      <c r="K244">
        <v>1</v>
      </c>
      <c r="L244" t="s">
        <v>18</v>
      </c>
      <c r="M244" t="s">
        <v>19</v>
      </c>
      <c r="N244" s="9">
        <v>5.6109589041095891</v>
      </c>
      <c r="O244" t="s">
        <v>20</v>
      </c>
    </row>
    <row r="245" spans="3:15" x14ac:dyDescent="0.25">
      <c r="C245" t="s">
        <v>389</v>
      </c>
      <c r="D245" t="s">
        <v>390</v>
      </c>
      <c r="E245" t="s">
        <v>391</v>
      </c>
      <c r="F245" t="s">
        <v>15</v>
      </c>
      <c r="G245" t="s">
        <v>101</v>
      </c>
      <c r="H245" s="5">
        <v>36547.58</v>
      </c>
      <c r="I245" t="s">
        <v>65</v>
      </c>
      <c r="J245" s="6">
        <v>43416</v>
      </c>
      <c r="K245">
        <v>1</v>
      </c>
      <c r="L245" t="s">
        <v>18</v>
      </c>
      <c r="M245" t="s">
        <v>19</v>
      </c>
      <c r="N245" s="9">
        <v>5.6109589041095891</v>
      </c>
      <c r="O245" t="s">
        <v>20</v>
      </c>
    </row>
    <row r="246" spans="3:15" x14ac:dyDescent="0.25">
      <c r="C246" t="s">
        <v>481</v>
      </c>
      <c r="D246" t="s">
        <v>482</v>
      </c>
      <c r="E246" t="s">
        <v>483</v>
      </c>
      <c r="F246" t="s">
        <v>15</v>
      </c>
      <c r="G246" t="s">
        <v>16</v>
      </c>
      <c r="H246" s="5">
        <v>36536.26</v>
      </c>
      <c r="I246" t="s">
        <v>65</v>
      </c>
      <c r="J246" s="6">
        <v>44358</v>
      </c>
      <c r="K246">
        <v>1</v>
      </c>
      <c r="L246" t="s">
        <v>76</v>
      </c>
      <c r="M246" t="s">
        <v>41</v>
      </c>
      <c r="N246" s="9">
        <v>3.0301369863013701</v>
      </c>
      <c r="O246" t="s">
        <v>20</v>
      </c>
    </row>
    <row r="247" spans="3:15" x14ac:dyDescent="0.25">
      <c r="C247" t="s">
        <v>198</v>
      </c>
      <c r="D247" t="s">
        <v>199</v>
      </c>
      <c r="E247" t="s">
        <v>200</v>
      </c>
      <c r="F247" t="s">
        <v>24</v>
      </c>
      <c r="G247" t="s">
        <v>97</v>
      </c>
      <c r="H247" s="5">
        <v>35943.620000000003</v>
      </c>
      <c r="I247" t="s">
        <v>65</v>
      </c>
      <c r="J247" s="6">
        <v>44078</v>
      </c>
      <c r="K247">
        <v>1</v>
      </c>
      <c r="L247" t="s">
        <v>18</v>
      </c>
      <c r="M247" t="s">
        <v>72</v>
      </c>
      <c r="N247" s="9">
        <v>3.7972602739726029</v>
      </c>
      <c r="O247" t="s">
        <v>20</v>
      </c>
    </row>
    <row r="248" spans="3:15" x14ac:dyDescent="0.25">
      <c r="C248" t="s">
        <v>590</v>
      </c>
      <c r="D248" t="s">
        <v>591</v>
      </c>
      <c r="E248" t="s">
        <v>592</v>
      </c>
      <c r="F248" t="s">
        <v>15</v>
      </c>
      <c r="G248" t="s">
        <v>101</v>
      </c>
      <c r="H248" s="5">
        <v>35936.31</v>
      </c>
      <c r="I248" t="s">
        <v>65</v>
      </c>
      <c r="J248" s="6">
        <v>43241</v>
      </c>
      <c r="K248">
        <v>1</v>
      </c>
      <c r="L248" t="s">
        <v>18</v>
      </c>
      <c r="M248" t="s">
        <v>84</v>
      </c>
      <c r="N248" s="9">
        <v>6.0904109589041093</v>
      </c>
      <c r="O248" t="s">
        <v>20</v>
      </c>
    </row>
    <row r="249" spans="3:15" x14ac:dyDescent="0.25">
      <c r="C249" t="s">
        <v>439</v>
      </c>
      <c r="D249" t="s">
        <v>440</v>
      </c>
      <c r="E249" t="s">
        <v>441</v>
      </c>
      <c r="F249" t="s">
        <v>24</v>
      </c>
      <c r="G249" t="s">
        <v>25</v>
      </c>
      <c r="H249" s="5">
        <v>33031.26</v>
      </c>
      <c r="I249" t="s">
        <v>65</v>
      </c>
      <c r="J249" s="6">
        <v>43468</v>
      </c>
      <c r="K249">
        <v>0.4</v>
      </c>
      <c r="L249" t="s">
        <v>18</v>
      </c>
      <c r="M249" t="s">
        <v>41</v>
      </c>
      <c r="N249" s="9">
        <v>5.4684931506849317</v>
      </c>
      <c r="O249" t="s">
        <v>28</v>
      </c>
    </row>
    <row r="250" spans="3:15" x14ac:dyDescent="0.25">
      <c r="C250" t="s">
        <v>442</v>
      </c>
      <c r="D250" t="s">
        <v>443</v>
      </c>
      <c r="E250" t="s">
        <v>444</v>
      </c>
      <c r="F250" t="s">
        <v>24</v>
      </c>
      <c r="G250" t="s">
        <v>131</v>
      </c>
      <c r="H250" s="5">
        <v>32496.880000000001</v>
      </c>
      <c r="I250" t="s">
        <v>65</v>
      </c>
      <c r="J250" s="6">
        <v>43234</v>
      </c>
      <c r="K250">
        <v>1</v>
      </c>
      <c r="L250" t="s">
        <v>76</v>
      </c>
      <c r="M250" t="s">
        <v>19</v>
      </c>
      <c r="N250" s="9">
        <v>6.1095890410958908</v>
      </c>
      <c r="O250" t="s">
        <v>20</v>
      </c>
    </row>
    <row r="251" spans="3:15" x14ac:dyDescent="0.25">
      <c r="C251" t="s">
        <v>566</v>
      </c>
      <c r="D251" t="s">
        <v>567</v>
      </c>
      <c r="E251" t="s">
        <v>568</v>
      </c>
      <c r="F251" t="s">
        <v>24</v>
      </c>
      <c r="G251" t="s">
        <v>32</v>
      </c>
      <c r="H251" s="5">
        <v>32269.91</v>
      </c>
      <c r="I251" t="s">
        <v>65</v>
      </c>
      <c r="J251" s="6">
        <v>43346</v>
      </c>
      <c r="K251">
        <v>1</v>
      </c>
      <c r="L251" t="s">
        <v>18</v>
      </c>
      <c r="M251" t="s">
        <v>19</v>
      </c>
      <c r="N251" s="9">
        <v>5.8027397260273972</v>
      </c>
      <c r="O251" t="s">
        <v>20</v>
      </c>
    </row>
    <row r="252" spans="3:15" x14ac:dyDescent="0.25">
      <c r="C252" t="s">
        <v>273</v>
      </c>
      <c r="D252" t="s">
        <v>274</v>
      </c>
      <c r="E252" t="s">
        <v>275</v>
      </c>
      <c r="F252" t="s">
        <v>15</v>
      </c>
      <c r="G252" t="s">
        <v>105</v>
      </c>
      <c r="H252" s="5">
        <v>32192.15</v>
      </c>
      <c r="I252" t="s">
        <v>65</v>
      </c>
      <c r="J252" s="6">
        <v>44473</v>
      </c>
      <c r="K252">
        <v>1</v>
      </c>
      <c r="L252" t="s">
        <v>18</v>
      </c>
      <c r="M252" t="s">
        <v>41</v>
      </c>
      <c r="N252" s="9">
        <v>2.7150684931506848</v>
      </c>
      <c r="O252" t="s">
        <v>20</v>
      </c>
    </row>
    <row r="253" spans="3:15" x14ac:dyDescent="0.25">
      <c r="C253" t="s">
        <v>554</v>
      </c>
      <c r="D253" t="s">
        <v>555</v>
      </c>
      <c r="E253" t="s">
        <v>556</v>
      </c>
      <c r="F253" t="s">
        <v>15</v>
      </c>
      <c r="G253" t="s">
        <v>54</v>
      </c>
      <c r="H253" s="5">
        <v>31816.57</v>
      </c>
      <c r="I253" t="s">
        <v>65</v>
      </c>
      <c r="J253" s="6">
        <v>43497</v>
      </c>
      <c r="K253">
        <v>0.3</v>
      </c>
      <c r="L253" t="s">
        <v>37</v>
      </c>
      <c r="M253" t="s">
        <v>19</v>
      </c>
      <c r="N253" s="9">
        <v>5.3890410958904109</v>
      </c>
      <c r="O253" t="s">
        <v>28</v>
      </c>
    </row>
    <row r="254" spans="3:15" x14ac:dyDescent="0.25">
      <c r="C254" t="s">
        <v>431</v>
      </c>
      <c r="D254" t="s">
        <v>432</v>
      </c>
      <c r="E254" t="s">
        <v>433</v>
      </c>
      <c r="F254" t="s">
        <v>15</v>
      </c>
      <c r="G254" t="s">
        <v>124</v>
      </c>
      <c r="H254" s="5">
        <v>31241.24</v>
      </c>
      <c r="I254" t="s">
        <v>65</v>
      </c>
      <c r="J254" s="6">
        <v>43725</v>
      </c>
      <c r="K254">
        <v>1</v>
      </c>
      <c r="L254" t="s">
        <v>18</v>
      </c>
      <c r="M254" t="s">
        <v>19</v>
      </c>
      <c r="N254" s="9">
        <v>4.7643835616438359</v>
      </c>
      <c r="O254" t="s">
        <v>20</v>
      </c>
    </row>
    <row r="255" spans="3:15" x14ac:dyDescent="0.25">
      <c r="C255" t="s">
        <v>165</v>
      </c>
      <c r="D255" t="s">
        <v>166</v>
      </c>
      <c r="E255" t="s">
        <v>167</v>
      </c>
      <c r="F255" t="s">
        <v>24</v>
      </c>
      <c r="G255" t="s">
        <v>32</v>
      </c>
      <c r="H255" s="5">
        <v>31172.77</v>
      </c>
      <c r="I255" t="s">
        <v>65</v>
      </c>
      <c r="J255" s="6">
        <v>43665</v>
      </c>
      <c r="K255">
        <v>1</v>
      </c>
      <c r="L255" t="s">
        <v>37</v>
      </c>
      <c r="M255" t="s">
        <v>19</v>
      </c>
      <c r="N255" s="9">
        <v>4.9287671232876713</v>
      </c>
      <c r="O255" t="s">
        <v>20</v>
      </c>
    </row>
    <row r="256" spans="3:15" x14ac:dyDescent="0.25">
      <c r="C256" t="s">
        <v>732</v>
      </c>
      <c r="D256" t="s">
        <v>733</v>
      </c>
      <c r="E256" t="s">
        <v>734</v>
      </c>
      <c r="F256" t="s">
        <v>24</v>
      </c>
      <c r="G256" t="s">
        <v>131</v>
      </c>
      <c r="H256" s="5">
        <v>31089.22</v>
      </c>
      <c r="I256" t="s">
        <v>65</v>
      </c>
      <c r="J256" s="6">
        <v>43776</v>
      </c>
      <c r="K256">
        <v>1</v>
      </c>
      <c r="L256" t="s">
        <v>37</v>
      </c>
      <c r="M256" t="s">
        <v>84</v>
      </c>
      <c r="N256" s="9">
        <v>4.624657534246575</v>
      </c>
      <c r="O256" t="s">
        <v>20</v>
      </c>
    </row>
    <row r="257" spans="3:15" x14ac:dyDescent="0.25">
      <c r="C257" t="s">
        <v>222</v>
      </c>
      <c r="D257" t="s">
        <v>223</v>
      </c>
      <c r="E257" t="s">
        <v>224</v>
      </c>
      <c r="F257" t="s">
        <v>24</v>
      </c>
      <c r="G257" t="s">
        <v>131</v>
      </c>
      <c r="H257" s="5">
        <v>31042.51</v>
      </c>
      <c r="I257" t="s">
        <v>65</v>
      </c>
      <c r="J257" s="6">
        <v>44473</v>
      </c>
      <c r="K257">
        <v>0.3</v>
      </c>
      <c r="L257" t="s">
        <v>37</v>
      </c>
      <c r="M257" t="s">
        <v>19</v>
      </c>
      <c r="N257" s="9">
        <v>2.7150684931506848</v>
      </c>
      <c r="O257" t="s">
        <v>28</v>
      </c>
    </row>
    <row r="258" spans="3:15" x14ac:dyDescent="0.25">
      <c r="C258" t="s">
        <v>715</v>
      </c>
      <c r="D258" t="s">
        <v>716</v>
      </c>
      <c r="E258" t="s">
        <v>717</v>
      </c>
      <c r="F258" t="s">
        <v>15</v>
      </c>
      <c r="G258" t="s">
        <v>50</v>
      </c>
      <c r="H258" s="5">
        <v>30077.45</v>
      </c>
      <c r="I258" t="s">
        <v>65</v>
      </c>
      <c r="J258" s="6">
        <v>43474</v>
      </c>
      <c r="K258">
        <v>1</v>
      </c>
      <c r="L258" t="s">
        <v>18</v>
      </c>
      <c r="M258" t="s">
        <v>45</v>
      </c>
      <c r="N258" s="9">
        <v>5.4520547945205475</v>
      </c>
      <c r="O258" t="s">
        <v>20</v>
      </c>
    </row>
    <row r="259" spans="3:15" x14ac:dyDescent="0.25">
      <c r="C259" t="s">
        <v>725</v>
      </c>
      <c r="D259" t="s">
        <v>726</v>
      </c>
      <c r="E259" t="s">
        <v>727</v>
      </c>
      <c r="F259" t="s">
        <v>24</v>
      </c>
      <c r="G259" t="s">
        <v>97</v>
      </c>
      <c r="H259" s="5">
        <v>29808.07</v>
      </c>
      <c r="I259" t="s">
        <v>65</v>
      </c>
      <c r="J259" s="6">
        <v>43291</v>
      </c>
      <c r="K259">
        <v>0.3</v>
      </c>
      <c r="L259" t="s">
        <v>76</v>
      </c>
      <c r="M259" t="s">
        <v>41</v>
      </c>
      <c r="N259" s="9">
        <v>5.9534246575342467</v>
      </c>
      <c r="O259" t="s">
        <v>28</v>
      </c>
    </row>
    <row r="260" spans="3:15" x14ac:dyDescent="0.25">
      <c r="C260" t="s">
        <v>596</v>
      </c>
      <c r="D260" t="s">
        <v>597</v>
      </c>
      <c r="E260" t="s">
        <v>598</v>
      </c>
      <c r="F260" t="s">
        <v>15</v>
      </c>
      <c r="G260" t="s">
        <v>131</v>
      </c>
      <c r="H260" s="5">
        <v>29774.76</v>
      </c>
      <c r="I260" t="s">
        <v>65</v>
      </c>
      <c r="J260" s="6">
        <v>44105</v>
      </c>
      <c r="K260">
        <v>1</v>
      </c>
      <c r="L260" t="s">
        <v>18</v>
      </c>
      <c r="M260" t="s">
        <v>45</v>
      </c>
      <c r="N260" s="9">
        <v>3.7232876712328768</v>
      </c>
      <c r="O260" t="s">
        <v>20</v>
      </c>
    </row>
    <row r="261" spans="3:15" x14ac:dyDescent="0.25">
      <c r="C261" t="s">
        <v>495</v>
      </c>
      <c r="D261" t="s">
        <v>496</v>
      </c>
      <c r="E261" t="s">
        <v>497</v>
      </c>
      <c r="F261" t="s">
        <v>24</v>
      </c>
      <c r="G261" t="s">
        <v>50</v>
      </c>
      <c r="H261" s="5">
        <v>28974.03</v>
      </c>
      <c r="I261" t="s">
        <v>65</v>
      </c>
      <c r="J261" s="6">
        <v>43733</v>
      </c>
      <c r="K261">
        <v>1</v>
      </c>
      <c r="L261" t="s">
        <v>18</v>
      </c>
      <c r="M261" t="s">
        <v>77</v>
      </c>
      <c r="N261" s="9">
        <v>4.7424657534246579</v>
      </c>
      <c r="O261" t="s">
        <v>20</v>
      </c>
    </row>
    <row r="262" spans="3:15" x14ac:dyDescent="0.25">
      <c r="C262" t="s">
        <v>466</v>
      </c>
      <c r="D262" t="s">
        <v>467</v>
      </c>
      <c r="E262" t="s">
        <v>468</v>
      </c>
      <c r="F262" t="s">
        <v>15</v>
      </c>
      <c r="G262" t="s">
        <v>131</v>
      </c>
      <c r="H262" s="5">
        <v>28481.16</v>
      </c>
      <c r="I262" t="s">
        <v>65</v>
      </c>
      <c r="J262" s="6">
        <v>43916</v>
      </c>
      <c r="K262">
        <v>1</v>
      </c>
      <c r="L262" t="s">
        <v>18</v>
      </c>
      <c r="M262" t="s">
        <v>41</v>
      </c>
      <c r="N262" s="9">
        <v>4.2410958904109588</v>
      </c>
      <c r="O262" t="s">
        <v>20</v>
      </c>
    </row>
    <row r="263" spans="3:15" x14ac:dyDescent="0.25">
      <c r="C263" t="s">
        <v>466</v>
      </c>
      <c r="D263" t="s">
        <v>617</v>
      </c>
      <c r="E263" t="s">
        <v>618</v>
      </c>
      <c r="F263" t="s">
        <v>15</v>
      </c>
      <c r="G263" t="s">
        <v>131</v>
      </c>
      <c r="H263" s="5">
        <v>28481.16</v>
      </c>
      <c r="I263" t="s">
        <v>65</v>
      </c>
      <c r="J263" s="6">
        <v>43916</v>
      </c>
      <c r="K263">
        <v>1</v>
      </c>
      <c r="L263" t="s">
        <v>18</v>
      </c>
      <c r="M263" t="s">
        <v>41</v>
      </c>
      <c r="N263" s="9">
        <v>4.2410958904109588</v>
      </c>
      <c r="O263" t="s">
        <v>20</v>
      </c>
    </row>
    <row r="264" spans="3:15" x14ac:dyDescent="0.25">
      <c r="C264" t="s">
        <v>270</v>
      </c>
      <c r="D264" t="s">
        <v>271</v>
      </c>
      <c r="E264" t="s">
        <v>272</v>
      </c>
      <c r="F264" t="s">
        <v>15</v>
      </c>
      <c r="G264" t="s">
        <v>131</v>
      </c>
      <c r="H264" s="5">
        <v>28481.16</v>
      </c>
      <c r="I264" t="s">
        <v>65</v>
      </c>
      <c r="J264" s="6">
        <v>44228</v>
      </c>
      <c r="K264">
        <v>1</v>
      </c>
      <c r="L264" t="s">
        <v>76</v>
      </c>
      <c r="M264" t="s">
        <v>84</v>
      </c>
      <c r="N264" s="9">
        <v>3.3863013698630136</v>
      </c>
      <c r="O264" t="s">
        <v>20</v>
      </c>
    </row>
    <row r="265" spans="3:15" x14ac:dyDescent="0.25">
      <c r="C265" t="s">
        <v>691</v>
      </c>
      <c r="D265" t="s">
        <v>692</v>
      </c>
      <c r="E265" t="s">
        <v>693</v>
      </c>
      <c r="F265" t="s">
        <v>15</v>
      </c>
      <c r="G265" t="s">
        <v>97</v>
      </c>
      <c r="H265" s="5">
        <v>28329.77</v>
      </c>
      <c r="I265" t="s">
        <v>65</v>
      </c>
      <c r="J265" s="6">
        <v>43402</v>
      </c>
      <c r="K265">
        <v>1</v>
      </c>
      <c r="L265" t="s">
        <v>18</v>
      </c>
      <c r="M265" t="s">
        <v>27</v>
      </c>
      <c r="N265" s="9">
        <v>5.6493150684931503</v>
      </c>
      <c r="O265" t="s">
        <v>20</v>
      </c>
    </row>
    <row r="266" spans="3:15" x14ac:dyDescent="0.25">
      <c r="C266" t="s">
        <v>593</v>
      </c>
      <c r="D266" t="s">
        <v>594</v>
      </c>
      <c r="E266" t="s">
        <v>595</v>
      </c>
      <c r="F266" t="s">
        <v>24</v>
      </c>
      <c r="G266" t="s">
        <v>32</v>
      </c>
      <c r="H266" s="5">
        <v>28305.08</v>
      </c>
      <c r="I266" t="s">
        <v>65</v>
      </c>
      <c r="J266" s="6">
        <v>43754</v>
      </c>
      <c r="K266">
        <v>1</v>
      </c>
      <c r="L266" t="s">
        <v>18</v>
      </c>
      <c r="M266" t="s">
        <v>19</v>
      </c>
      <c r="N266" s="9">
        <v>4.6849315068493151</v>
      </c>
      <c r="O266" t="s">
        <v>20</v>
      </c>
    </row>
    <row r="267" spans="3:15" x14ac:dyDescent="0.25">
      <c r="C267" t="s">
        <v>522</v>
      </c>
      <c r="D267" t="s">
        <v>523</v>
      </c>
      <c r="E267" t="s">
        <v>524</v>
      </c>
      <c r="F267" t="s">
        <v>15</v>
      </c>
      <c r="G267" t="s">
        <v>58</v>
      </c>
      <c r="H267" s="5">
        <v>28160.79</v>
      </c>
      <c r="I267" t="s">
        <v>65</v>
      </c>
      <c r="J267" s="6">
        <v>43129</v>
      </c>
      <c r="K267">
        <v>1</v>
      </c>
      <c r="L267" t="s">
        <v>76</v>
      </c>
      <c r="M267" t="s">
        <v>19</v>
      </c>
      <c r="N267" s="9">
        <v>6.397260273972603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DFB3-17E6-4586-8B37-E244A1113F55}">
  <sheetPr>
    <tabColor theme="5" tint="-0.499984740745262"/>
  </sheetPr>
  <dimension ref="A2:AE266"/>
  <sheetViews>
    <sheetView topLeftCell="A2" workbookViewId="0">
      <selection activeCell="C21" sqref="C21"/>
    </sheetView>
  </sheetViews>
  <sheetFormatPr defaultRowHeight="15" x14ac:dyDescent="0.25"/>
  <cols>
    <col min="2" max="2" width="27.85546875" customWidth="1"/>
    <col min="3" max="3" width="17.42578125" customWidth="1"/>
    <col min="4" max="4" width="23.28515625" customWidth="1"/>
    <col min="5" max="5" width="21" bestFit="1" customWidth="1"/>
    <col min="6" max="6" width="21" customWidth="1"/>
    <col min="7" max="7" width="28.140625" bestFit="1" customWidth="1"/>
    <col min="20" max="20" width="14.42578125" bestFit="1" customWidth="1"/>
    <col min="26" max="26" width="25.85546875" bestFit="1" customWidth="1"/>
    <col min="27" max="28" width="14.5703125" bestFit="1" customWidth="1"/>
    <col min="29" max="29" width="11.5703125" bestFit="1" customWidth="1"/>
    <col min="30" max="30" width="25.5703125" bestFit="1" customWidth="1"/>
    <col min="31" max="31" width="27.7109375" bestFit="1" customWidth="1"/>
  </cols>
  <sheetData>
    <row r="2" spans="1:31" x14ac:dyDescent="0.25">
      <c r="A2" s="10">
        <v>1</v>
      </c>
      <c r="B2" s="63" t="s">
        <v>740</v>
      </c>
      <c r="C2" s="63"/>
      <c r="D2" s="14" t="s">
        <v>741</v>
      </c>
      <c r="E2" s="11" t="s">
        <v>762</v>
      </c>
      <c r="F2" s="35"/>
    </row>
    <row r="4" spans="1:31" x14ac:dyDescent="0.25">
      <c r="B4" s="64" t="s">
        <v>771</v>
      </c>
      <c r="C4" s="64"/>
      <c r="D4" s="64"/>
    </row>
    <row r="6" spans="1:31" ht="18.75" x14ac:dyDescent="0.25">
      <c r="B6" s="27" t="s">
        <v>4</v>
      </c>
      <c r="C6" s="27" t="s">
        <v>768</v>
      </c>
      <c r="D6" s="27" t="s">
        <v>769</v>
      </c>
      <c r="E6" s="31" t="s">
        <v>773</v>
      </c>
      <c r="F6" s="31" t="s">
        <v>775</v>
      </c>
      <c r="G6" s="31" t="s">
        <v>774</v>
      </c>
      <c r="K6" t="s">
        <v>0</v>
      </c>
      <c r="L6" t="s">
        <v>1</v>
      </c>
      <c r="M6" t="s">
        <v>2</v>
      </c>
      <c r="N6" t="s">
        <v>3</v>
      </c>
      <c r="O6" t="s">
        <v>4</v>
      </c>
      <c r="P6" t="s">
        <v>5</v>
      </c>
      <c r="Q6" t="s">
        <v>6</v>
      </c>
      <c r="R6" t="s">
        <v>7</v>
      </c>
      <c r="S6" t="s">
        <v>8</v>
      </c>
      <c r="T6" t="s">
        <v>9</v>
      </c>
      <c r="U6" t="s">
        <v>10</v>
      </c>
      <c r="V6" t="s">
        <v>738</v>
      </c>
      <c r="W6" t="s">
        <v>11</v>
      </c>
    </row>
    <row r="7" spans="1:31" ht="15.75" x14ac:dyDescent="0.25">
      <c r="B7" s="7" t="s">
        <v>36</v>
      </c>
      <c r="C7" s="7" cm="1">
        <f t="array" ref="C7:C18">COUNTIFS(staff[Department],B7:B18)</f>
        <v>24</v>
      </c>
      <c r="D7" s="30" cm="1">
        <f t="array" ref="D7:D18">SUMIFS(staff[Salary],staff[Department],B7:B18)</f>
        <v>2013215.1600000001</v>
      </c>
      <c r="E7" s="34" cm="1">
        <f t="array" ref="E7:E18">AVERAGEIFS(staff[Salary],staff[Department],B7:B18)</f>
        <v>83883.965000000011</v>
      </c>
      <c r="F7" s="34" t="s">
        <v>18</v>
      </c>
      <c r="G7" cm="1">
        <f t="array" ref="G7:G9">COUNTIFS(staff[Employee type],F7:F9)</f>
        <v>168</v>
      </c>
      <c r="K7" t="s">
        <v>627</v>
      </c>
      <c r="L7" t="s">
        <v>628</v>
      </c>
      <c r="M7" t="s">
        <v>629</v>
      </c>
      <c r="N7" t="s">
        <v>24</v>
      </c>
      <c r="O7" t="s">
        <v>36</v>
      </c>
      <c r="P7">
        <v>96135.75</v>
      </c>
      <c r="Q7" t="s">
        <v>26</v>
      </c>
      <c r="R7">
        <v>44025</v>
      </c>
      <c r="S7">
        <v>0.3</v>
      </c>
      <c r="T7" t="s">
        <v>18</v>
      </c>
      <c r="U7" t="s">
        <v>45</v>
      </c>
      <c r="V7">
        <v>3.9424657534246577</v>
      </c>
      <c r="W7" t="s">
        <v>28</v>
      </c>
      <c r="Z7" s="65" t="s">
        <v>772</v>
      </c>
      <c r="AA7" s="65"/>
      <c r="AB7" s="65"/>
    </row>
    <row r="8" spans="1:31" x14ac:dyDescent="0.25">
      <c r="B8" s="7" t="s">
        <v>25</v>
      </c>
      <c r="C8" s="7">
        <v>25</v>
      </c>
      <c r="D8" s="30">
        <v>1993631.21</v>
      </c>
      <c r="E8" s="32">
        <v>79745.248399999997</v>
      </c>
      <c r="F8" t="s">
        <v>37</v>
      </c>
      <c r="G8">
        <v>50</v>
      </c>
      <c r="K8" t="s">
        <v>309</v>
      </c>
      <c r="L8" t="s">
        <v>310</v>
      </c>
      <c r="M8" t="s">
        <v>311</v>
      </c>
      <c r="N8" t="s">
        <v>24</v>
      </c>
      <c r="O8" t="s">
        <v>25</v>
      </c>
      <c r="P8">
        <v>70649.460000000006</v>
      </c>
      <c r="Q8" t="s">
        <v>26</v>
      </c>
      <c r="R8">
        <v>43843</v>
      </c>
      <c r="S8">
        <v>1</v>
      </c>
      <c r="T8" t="s">
        <v>18</v>
      </c>
      <c r="U8" t="s">
        <v>41</v>
      </c>
      <c r="V8">
        <v>4.441095890410959</v>
      </c>
      <c r="W8" t="s">
        <v>20</v>
      </c>
    </row>
    <row r="9" spans="1:31" ht="18.75" x14ac:dyDescent="0.25">
      <c r="B9" s="7" t="s">
        <v>16</v>
      </c>
      <c r="C9" s="7">
        <v>26</v>
      </c>
      <c r="D9" s="30">
        <v>2131387.4900000002</v>
      </c>
      <c r="E9" s="32">
        <v>81976.441923076927</v>
      </c>
      <c r="F9" t="s">
        <v>76</v>
      </c>
      <c r="G9">
        <v>42</v>
      </c>
      <c r="K9" t="s">
        <v>608</v>
      </c>
      <c r="L9" t="s">
        <v>283</v>
      </c>
      <c r="M9" t="s">
        <v>284</v>
      </c>
      <c r="N9" t="s">
        <v>24</v>
      </c>
      <c r="O9" t="s">
        <v>25</v>
      </c>
      <c r="P9">
        <v>80695.740000000005</v>
      </c>
      <c r="Q9" t="s">
        <v>26</v>
      </c>
      <c r="R9">
        <v>43360</v>
      </c>
      <c r="S9">
        <v>1</v>
      </c>
      <c r="T9" t="s">
        <v>18</v>
      </c>
      <c r="U9" t="s">
        <v>72</v>
      </c>
      <c r="V9">
        <v>5.7643835616438359</v>
      </c>
      <c r="W9" t="s">
        <v>20</v>
      </c>
      <c r="Z9" s="28" t="s">
        <v>4</v>
      </c>
      <c r="AA9" s="28" t="s">
        <v>770</v>
      </c>
      <c r="AB9" s="28" t="s">
        <v>769</v>
      </c>
      <c r="AC9" s="28" t="s">
        <v>776</v>
      </c>
      <c r="AD9" s="28" t="s">
        <v>778</v>
      </c>
      <c r="AE9" s="28" t="s">
        <v>777</v>
      </c>
    </row>
    <row r="10" spans="1:31" x14ac:dyDescent="0.25">
      <c r="B10" s="7" t="s">
        <v>54</v>
      </c>
      <c r="C10" s="7">
        <v>12</v>
      </c>
      <c r="D10" s="30">
        <v>773295.60000000009</v>
      </c>
      <c r="E10" s="32">
        <v>64441.30000000001</v>
      </c>
      <c r="K10" t="s">
        <v>608</v>
      </c>
      <c r="L10" t="s">
        <v>283</v>
      </c>
      <c r="M10" t="s">
        <v>284</v>
      </c>
      <c r="N10" t="s">
        <v>24</v>
      </c>
      <c r="O10" t="s">
        <v>25</v>
      </c>
      <c r="P10">
        <v>80695.740000000005</v>
      </c>
      <c r="Q10" t="s">
        <v>26</v>
      </c>
      <c r="R10">
        <v>43360</v>
      </c>
      <c r="S10">
        <v>1</v>
      </c>
      <c r="T10" t="s">
        <v>18</v>
      </c>
      <c r="U10" t="s">
        <v>72</v>
      </c>
      <c r="V10">
        <v>5.7643835616438359</v>
      </c>
      <c r="W10" t="s">
        <v>20</v>
      </c>
      <c r="Z10" s="29" t="s">
        <v>36</v>
      </c>
      <c r="AA10" s="29" cm="1">
        <f t="array" ref="AA10:AA21">COUNTIFS(O7:O266,Z10:Z21)</f>
        <v>24</v>
      </c>
      <c r="AB10" s="36" cm="1">
        <f t="array" ref="AB10:AB21">SUMIFS(P7:P266,O7:O266,Z10:Z21)</f>
        <v>2013215.1600000001</v>
      </c>
      <c r="AC10" s="34" cm="1">
        <f t="array" ref="AC10:AC21">AVERAGEIFS(P7:P266,O7:O266,Z10:Z21)</f>
        <v>83883.965000000011</v>
      </c>
      <c r="AD10" t="s">
        <v>18</v>
      </c>
      <c r="AE10" cm="1">
        <f t="array" ref="AE10:AE12">COUNTIFS(T7:T266,AD10:AD12)</f>
        <v>168</v>
      </c>
    </row>
    <row r="11" spans="1:31" x14ac:dyDescent="0.25">
      <c r="B11" s="7" t="s">
        <v>131</v>
      </c>
      <c r="C11" s="7">
        <v>21</v>
      </c>
      <c r="D11" s="30">
        <v>1412092.8699999996</v>
      </c>
      <c r="E11" s="32">
        <v>67242.517619047605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>
        <v>120000</v>
      </c>
      <c r="Q11" t="s">
        <v>17</v>
      </c>
      <c r="R11">
        <v>43416</v>
      </c>
      <c r="S11">
        <v>1</v>
      </c>
      <c r="T11" t="s">
        <v>18</v>
      </c>
      <c r="U11" t="s">
        <v>19</v>
      </c>
      <c r="V11">
        <v>5.6109589041095891</v>
      </c>
      <c r="W11" t="s">
        <v>20</v>
      </c>
      <c r="Z11" s="29" t="s">
        <v>25</v>
      </c>
      <c r="AA11" s="29">
        <v>26</v>
      </c>
      <c r="AB11" s="36">
        <v>2074326.9500000002</v>
      </c>
      <c r="AC11" s="34">
        <v>79781.805769230778</v>
      </c>
      <c r="AD11" t="s">
        <v>37</v>
      </c>
      <c r="AE11">
        <v>50</v>
      </c>
    </row>
    <row r="12" spans="1:31" x14ac:dyDescent="0.25">
      <c r="B12" s="7" t="s">
        <v>101</v>
      </c>
      <c r="C12" s="7">
        <v>26</v>
      </c>
      <c r="D12" s="30">
        <v>1814980.5900000003</v>
      </c>
      <c r="E12" s="32">
        <v>69806.945769230777</v>
      </c>
      <c r="K12" t="s">
        <v>645</v>
      </c>
      <c r="L12" t="s">
        <v>646</v>
      </c>
      <c r="M12" t="s">
        <v>647</v>
      </c>
      <c r="N12" t="s">
        <v>24</v>
      </c>
      <c r="O12" t="s">
        <v>54</v>
      </c>
      <c r="P12">
        <v>67905.8</v>
      </c>
      <c r="Q12" t="s">
        <v>26</v>
      </c>
      <c r="R12">
        <v>44194</v>
      </c>
      <c r="S12">
        <v>1</v>
      </c>
      <c r="T12" t="s">
        <v>18</v>
      </c>
      <c r="U12" t="s">
        <v>19</v>
      </c>
      <c r="V12">
        <v>3.4794520547945207</v>
      </c>
      <c r="W12" t="s">
        <v>20</v>
      </c>
      <c r="Z12" s="29" t="s">
        <v>16</v>
      </c>
      <c r="AA12" s="29">
        <v>26</v>
      </c>
      <c r="AB12" s="36">
        <v>2131387.4899999998</v>
      </c>
      <c r="AC12" s="34">
        <v>81976.441923076913</v>
      </c>
      <c r="AD12" t="s">
        <v>76</v>
      </c>
      <c r="AE12">
        <v>42</v>
      </c>
    </row>
    <row r="13" spans="1:31" x14ac:dyDescent="0.25">
      <c r="B13" s="7" t="s">
        <v>97</v>
      </c>
      <c r="C13" s="7">
        <v>22</v>
      </c>
      <c r="D13" s="30">
        <v>1608406.31</v>
      </c>
      <c r="E13" s="32">
        <v>73109.377727272731</v>
      </c>
      <c r="K13" t="s">
        <v>59</v>
      </c>
      <c r="L13" t="s">
        <v>60</v>
      </c>
      <c r="M13" t="s">
        <v>61</v>
      </c>
      <c r="N13" t="s">
        <v>24</v>
      </c>
      <c r="O13" t="s">
        <v>25</v>
      </c>
      <c r="P13">
        <v>68980.52</v>
      </c>
      <c r="Q13" t="s">
        <v>26</v>
      </c>
      <c r="R13">
        <v>43494</v>
      </c>
      <c r="S13">
        <v>0.8</v>
      </c>
      <c r="T13" t="s">
        <v>18</v>
      </c>
      <c r="U13" t="s">
        <v>19</v>
      </c>
      <c r="V13">
        <v>5.397260273972603</v>
      </c>
      <c r="W13" t="s">
        <v>28</v>
      </c>
      <c r="Z13" s="29" t="s">
        <v>54</v>
      </c>
      <c r="AA13" s="29">
        <v>12</v>
      </c>
      <c r="AB13" s="36">
        <v>773295.6</v>
      </c>
      <c r="AC13" s="34">
        <v>64441.299999999996</v>
      </c>
    </row>
    <row r="14" spans="1:31" x14ac:dyDescent="0.25">
      <c r="B14" s="7" t="s">
        <v>58</v>
      </c>
      <c r="C14" s="7">
        <v>18</v>
      </c>
      <c r="D14" s="30">
        <v>1204393.78</v>
      </c>
      <c r="E14" s="32">
        <v>66910.765555555554</v>
      </c>
      <c r="K14" t="s">
        <v>225</v>
      </c>
      <c r="L14" t="s">
        <v>226</v>
      </c>
      <c r="M14" t="s">
        <v>227</v>
      </c>
      <c r="N14" t="s">
        <v>24</v>
      </c>
      <c r="O14" t="s">
        <v>131</v>
      </c>
      <c r="P14">
        <v>63705.4</v>
      </c>
      <c r="Q14" t="s">
        <v>26</v>
      </c>
      <c r="R14">
        <v>43682</v>
      </c>
      <c r="S14">
        <v>1</v>
      </c>
      <c r="T14" t="s">
        <v>18</v>
      </c>
      <c r="U14" t="s">
        <v>41</v>
      </c>
      <c r="V14">
        <v>4.882191780821918</v>
      </c>
      <c r="W14" t="s">
        <v>20</v>
      </c>
      <c r="Z14" s="29" t="s">
        <v>131</v>
      </c>
      <c r="AA14" s="29">
        <v>21</v>
      </c>
      <c r="AB14" s="36">
        <v>1412092.87</v>
      </c>
      <c r="AC14" s="34">
        <v>67242.51761904762</v>
      </c>
    </row>
    <row r="15" spans="1:31" x14ac:dyDescent="0.25">
      <c r="B15" s="7" t="s">
        <v>32</v>
      </c>
      <c r="C15" s="7">
        <v>21</v>
      </c>
      <c r="D15" s="30">
        <v>1568153.4699999997</v>
      </c>
      <c r="E15" s="32">
        <v>74673.974761904756</v>
      </c>
      <c r="K15" t="s">
        <v>504</v>
      </c>
      <c r="L15" t="s">
        <v>505</v>
      </c>
      <c r="M15" t="s">
        <v>506</v>
      </c>
      <c r="N15" t="s">
        <v>24</v>
      </c>
      <c r="O15" t="s">
        <v>101</v>
      </c>
      <c r="P15">
        <v>114177.23</v>
      </c>
      <c r="Q15" t="s">
        <v>17</v>
      </c>
      <c r="R15">
        <v>43908</v>
      </c>
      <c r="S15">
        <v>1</v>
      </c>
      <c r="T15" t="s">
        <v>18</v>
      </c>
      <c r="U15" t="s">
        <v>45</v>
      </c>
      <c r="V15">
        <v>4.2630136986301368</v>
      </c>
      <c r="W15" t="s">
        <v>20</v>
      </c>
      <c r="Z15" s="29" t="s">
        <v>101</v>
      </c>
      <c r="AA15" s="29">
        <v>26</v>
      </c>
      <c r="AB15" s="36">
        <v>1814980.59</v>
      </c>
      <c r="AC15" s="34">
        <v>69806.945769230777</v>
      </c>
    </row>
    <row r="16" spans="1:31" x14ac:dyDescent="0.25">
      <c r="B16" s="7" t="s">
        <v>124</v>
      </c>
      <c r="C16" s="7">
        <v>29</v>
      </c>
      <c r="D16" s="30">
        <v>2180192.87</v>
      </c>
      <c r="E16" s="32">
        <v>75179.064482758622</v>
      </c>
      <c r="K16" t="s">
        <v>596</v>
      </c>
      <c r="L16" t="s">
        <v>597</v>
      </c>
      <c r="M16" t="s">
        <v>598</v>
      </c>
      <c r="N16" t="s">
        <v>15</v>
      </c>
      <c r="O16" t="s">
        <v>131</v>
      </c>
      <c r="P16">
        <v>29774.76</v>
      </c>
      <c r="Q16" t="s">
        <v>65</v>
      </c>
      <c r="R16">
        <v>44105</v>
      </c>
      <c r="S16">
        <v>1</v>
      </c>
      <c r="T16" t="s">
        <v>18</v>
      </c>
      <c r="U16" t="s">
        <v>45</v>
      </c>
      <c r="V16">
        <v>3.7232876712328768</v>
      </c>
      <c r="W16" t="s">
        <v>20</v>
      </c>
      <c r="Z16" s="29" t="s">
        <v>97</v>
      </c>
      <c r="AA16" s="29">
        <v>22</v>
      </c>
      <c r="AB16" s="36">
        <v>1608406.3100000003</v>
      </c>
      <c r="AC16" s="34">
        <v>73109.377727272746</v>
      </c>
    </row>
    <row r="17" spans="2:29" x14ac:dyDescent="0.25">
      <c r="B17" s="7" t="s">
        <v>50</v>
      </c>
      <c r="C17" s="7">
        <v>17</v>
      </c>
      <c r="D17" s="30">
        <v>1129351.7499999998</v>
      </c>
      <c r="E17" s="32">
        <v>66432.455882352922</v>
      </c>
      <c r="K17" t="s">
        <v>98</v>
      </c>
      <c r="L17" t="s">
        <v>99</v>
      </c>
      <c r="M17" t="s">
        <v>100</v>
      </c>
      <c r="N17" t="s">
        <v>15</v>
      </c>
      <c r="O17" t="s">
        <v>101</v>
      </c>
      <c r="P17">
        <v>52963.65</v>
      </c>
      <c r="Q17" t="s">
        <v>26</v>
      </c>
      <c r="R17">
        <v>44288</v>
      </c>
      <c r="S17">
        <v>0.3</v>
      </c>
      <c r="T17" t="s">
        <v>18</v>
      </c>
      <c r="U17" t="s">
        <v>72</v>
      </c>
      <c r="V17">
        <v>3.2219178082191782</v>
      </c>
      <c r="W17" t="s">
        <v>28</v>
      </c>
      <c r="Z17" s="29" t="s">
        <v>58</v>
      </c>
      <c r="AA17" s="29">
        <v>18</v>
      </c>
      <c r="AB17" s="36">
        <v>1204393.78</v>
      </c>
      <c r="AC17" s="34">
        <v>66910.765555555554</v>
      </c>
    </row>
    <row r="18" spans="2:29" x14ac:dyDescent="0.25">
      <c r="B18" s="7" t="s">
        <v>105</v>
      </c>
      <c r="C18" s="7">
        <v>18</v>
      </c>
      <c r="D18" s="30">
        <v>1294147.72</v>
      </c>
      <c r="E18" s="32">
        <v>71897.095555555556</v>
      </c>
      <c r="K18" t="s">
        <v>94</v>
      </c>
      <c r="L18" t="s">
        <v>95</v>
      </c>
      <c r="M18" t="s">
        <v>96</v>
      </c>
      <c r="N18" t="s">
        <v>15</v>
      </c>
      <c r="O18" t="s">
        <v>97</v>
      </c>
      <c r="P18">
        <v>50310.09</v>
      </c>
      <c r="Q18" t="s">
        <v>26</v>
      </c>
      <c r="R18">
        <v>44285</v>
      </c>
      <c r="S18">
        <v>0.4</v>
      </c>
      <c r="T18" t="s">
        <v>18</v>
      </c>
      <c r="U18" t="s">
        <v>41</v>
      </c>
      <c r="V18">
        <v>3.2301369863013698</v>
      </c>
      <c r="W18" t="s">
        <v>28</v>
      </c>
      <c r="Z18" s="29" t="s">
        <v>32</v>
      </c>
      <c r="AA18" s="29">
        <v>21</v>
      </c>
      <c r="AB18" s="36">
        <v>1568153.47</v>
      </c>
      <c r="AC18" s="34">
        <v>74673.974761904756</v>
      </c>
    </row>
    <row r="19" spans="2:29" x14ac:dyDescent="0.25">
      <c r="K19" t="s">
        <v>291</v>
      </c>
      <c r="L19" t="s">
        <v>292</v>
      </c>
      <c r="M19" t="s">
        <v>293</v>
      </c>
      <c r="N19" t="s">
        <v>24</v>
      </c>
      <c r="O19" t="s">
        <v>58</v>
      </c>
      <c r="P19">
        <v>84309.95</v>
      </c>
      <c r="Q19" t="s">
        <v>26</v>
      </c>
      <c r="R19">
        <v>44501</v>
      </c>
      <c r="S19">
        <v>1</v>
      </c>
      <c r="T19" t="s">
        <v>18</v>
      </c>
      <c r="U19" t="s">
        <v>19</v>
      </c>
      <c r="V19">
        <v>2.6383561643835618</v>
      </c>
      <c r="W19" t="s">
        <v>20</v>
      </c>
      <c r="Z19" s="29" t="s">
        <v>124</v>
      </c>
      <c r="AA19" s="29">
        <v>29</v>
      </c>
      <c r="AB19" s="36">
        <v>2180192.8699999992</v>
      </c>
      <c r="AC19" s="34">
        <v>75179.064482758593</v>
      </c>
    </row>
    <row r="20" spans="2:29" x14ac:dyDescent="0.25">
      <c r="K20" t="s">
        <v>590</v>
      </c>
      <c r="L20" t="s">
        <v>591</v>
      </c>
      <c r="M20" t="s">
        <v>592</v>
      </c>
      <c r="N20" t="s">
        <v>15</v>
      </c>
      <c r="O20" t="s">
        <v>101</v>
      </c>
      <c r="P20">
        <v>35936.31</v>
      </c>
      <c r="Q20" t="s">
        <v>65</v>
      </c>
      <c r="R20">
        <v>43241</v>
      </c>
      <c r="S20">
        <v>1</v>
      </c>
      <c r="T20" t="s">
        <v>18</v>
      </c>
      <c r="U20" t="s">
        <v>84</v>
      </c>
      <c r="V20">
        <v>6.0904109589041093</v>
      </c>
      <c r="W20" t="s">
        <v>20</v>
      </c>
      <c r="Z20" s="29" t="s">
        <v>50</v>
      </c>
      <c r="AA20" s="29">
        <v>17</v>
      </c>
      <c r="AB20" s="36">
        <v>1129351.75</v>
      </c>
      <c r="AC20" s="34">
        <v>66432.455882352937</v>
      </c>
    </row>
    <row r="21" spans="2:29" x14ac:dyDescent="0.25">
      <c r="K21" t="s">
        <v>276</v>
      </c>
      <c r="L21" t="s">
        <v>277</v>
      </c>
      <c r="M21" t="s">
        <v>278</v>
      </c>
      <c r="N21" t="s">
        <v>15</v>
      </c>
      <c r="O21" t="s">
        <v>16</v>
      </c>
      <c r="P21">
        <v>112645.99</v>
      </c>
      <c r="Q21" t="s">
        <v>17</v>
      </c>
      <c r="R21">
        <v>43759</v>
      </c>
      <c r="S21">
        <v>0.6</v>
      </c>
      <c r="T21" t="s">
        <v>18</v>
      </c>
      <c r="U21" t="s">
        <v>27</v>
      </c>
      <c r="V21">
        <v>4.6712328767123283</v>
      </c>
      <c r="W21" t="s">
        <v>28</v>
      </c>
      <c r="Z21" s="29" t="s">
        <v>105</v>
      </c>
      <c r="AA21" s="29">
        <v>18</v>
      </c>
      <c r="AB21" s="36">
        <v>1294147.72</v>
      </c>
      <c r="AC21" s="34">
        <v>71897.095555555556</v>
      </c>
    </row>
    <row r="22" spans="2:29" x14ac:dyDescent="0.25">
      <c r="K22" t="s">
        <v>294</v>
      </c>
      <c r="L22" t="s">
        <v>295</v>
      </c>
      <c r="M22" t="s">
        <v>296</v>
      </c>
      <c r="N22" t="s">
        <v>15</v>
      </c>
      <c r="O22" t="s">
        <v>101</v>
      </c>
      <c r="P22">
        <v>91645.04</v>
      </c>
      <c r="Q22" t="s">
        <v>26</v>
      </c>
      <c r="R22">
        <v>44223</v>
      </c>
      <c r="S22">
        <v>1</v>
      </c>
      <c r="T22" t="s">
        <v>18</v>
      </c>
      <c r="U22" t="s">
        <v>77</v>
      </c>
      <c r="V22">
        <v>3.4</v>
      </c>
      <c r="W22" t="s">
        <v>20</v>
      </c>
    </row>
    <row r="23" spans="2:29" x14ac:dyDescent="0.25">
      <c r="K23" t="s">
        <v>548</v>
      </c>
      <c r="L23" t="s">
        <v>549</v>
      </c>
      <c r="M23" t="s">
        <v>550</v>
      </c>
      <c r="N23" t="s">
        <v>24</v>
      </c>
      <c r="O23" t="s">
        <v>16</v>
      </c>
      <c r="P23">
        <v>97105.19</v>
      </c>
      <c r="Q23" t="s">
        <v>26</v>
      </c>
      <c r="R23">
        <v>44425</v>
      </c>
      <c r="S23">
        <v>1</v>
      </c>
      <c r="T23" t="s">
        <v>18</v>
      </c>
      <c r="U23" t="s">
        <v>72</v>
      </c>
      <c r="V23">
        <v>2.8465753424657536</v>
      </c>
      <c r="W23" t="s">
        <v>20</v>
      </c>
    </row>
    <row r="24" spans="2:29" x14ac:dyDescent="0.25">
      <c r="K24" t="s">
        <v>698</v>
      </c>
      <c r="L24" t="s">
        <v>699</v>
      </c>
      <c r="M24" t="s">
        <v>700</v>
      </c>
      <c r="N24" t="s">
        <v>15</v>
      </c>
      <c r="O24" t="s">
        <v>32</v>
      </c>
      <c r="P24">
        <v>84742.86</v>
      </c>
      <c r="Q24" t="s">
        <v>26</v>
      </c>
      <c r="R24">
        <v>44098</v>
      </c>
      <c r="S24">
        <v>1</v>
      </c>
      <c r="T24" t="s">
        <v>18</v>
      </c>
      <c r="U24" t="s">
        <v>77</v>
      </c>
      <c r="V24">
        <v>3.7424657534246575</v>
      </c>
      <c r="W24" t="s">
        <v>20</v>
      </c>
    </row>
    <row r="25" spans="2:29" x14ac:dyDescent="0.25">
      <c r="K25" t="s">
        <v>246</v>
      </c>
      <c r="L25" t="s">
        <v>247</v>
      </c>
      <c r="M25" t="s">
        <v>248</v>
      </c>
      <c r="N25" t="s">
        <v>15</v>
      </c>
      <c r="O25" t="s">
        <v>25</v>
      </c>
      <c r="P25">
        <v>85918.61</v>
      </c>
      <c r="Q25" t="s">
        <v>26</v>
      </c>
      <c r="R25">
        <v>43136</v>
      </c>
      <c r="S25">
        <v>1</v>
      </c>
      <c r="T25" t="s">
        <v>18</v>
      </c>
      <c r="U25" t="s">
        <v>72</v>
      </c>
      <c r="V25">
        <v>6.3780821917808215</v>
      </c>
      <c r="W25" t="s">
        <v>20</v>
      </c>
    </row>
    <row r="26" spans="2:29" x14ac:dyDescent="0.25">
      <c r="K26" t="s">
        <v>609</v>
      </c>
      <c r="L26" t="s">
        <v>610</v>
      </c>
      <c r="M26" t="s">
        <v>611</v>
      </c>
      <c r="N26" t="s">
        <v>24</v>
      </c>
      <c r="O26" t="s">
        <v>124</v>
      </c>
      <c r="P26">
        <v>72502.61</v>
      </c>
      <c r="Q26" t="s">
        <v>26</v>
      </c>
      <c r="R26">
        <v>44235</v>
      </c>
      <c r="S26">
        <v>1</v>
      </c>
      <c r="T26" t="s">
        <v>18</v>
      </c>
      <c r="U26" t="s">
        <v>45</v>
      </c>
      <c r="V26">
        <v>3.3671232876712329</v>
      </c>
      <c r="W26" t="s">
        <v>20</v>
      </c>
    </row>
    <row r="27" spans="2:29" x14ac:dyDescent="0.25">
      <c r="K27" t="s">
        <v>666</v>
      </c>
      <c r="L27" t="s">
        <v>667</v>
      </c>
      <c r="M27" t="s">
        <v>668</v>
      </c>
      <c r="N27" t="s">
        <v>15</v>
      </c>
      <c r="O27" t="s">
        <v>32</v>
      </c>
      <c r="P27">
        <v>77096.05</v>
      </c>
      <c r="Q27" t="s">
        <v>26</v>
      </c>
      <c r="R27">
        <v>43217</v>
      </c>
      <c r="S27">
        <v>1</v>
      </c>
      <c r="T27" t="s">
        <v>18</v>
      </c>
      <c r="U27" t="s">
        <v>84</v>
      </c>
      <c r="V27">
        <v>6.1561643835616442</v>
      </c>
      <c r="W27" t="s">
        <v>20</v>
      </c>
    </row>
    <row r="28" spans="2:29" x14ac:dyDescent="0.25">
      <c r="K28" t="s">
        <v>141</v>
      </c>
      <c r="L28" t="s">
        <v>142</v>
      </c>
      <c r="M28" t="s">
        <v>143</v>
      </c>
      <c r="N28" t="s">
        <v>24</v>
      </c>
      <c r="O28" t="s">
        <v>58</v>
      </c>
      <c r="P28">
        <v>50449.46</v>
      </c>
      <c r="Q28" t="s">
        <v>26</v>
      </c>
      <c r="R28">
        <v>43418</v>
      </c>
      <c r="S28">
        <v>0.8</v>
      </c>
      <c r="T28" t="s">
        <v>18</v>
      </c>
      <c r="U28" t="s">
        <v>77</v>
      </c>
      <c r="V28">
        <v>5.6054794520547944</v>
      </c>
      <c r="W28" t="s">
        <v>28</v>
      </c>
    </row>
    <row r="29" spans="2:29" x14ac:dyDescent="0.25">
      <c r="K29" t="s">
        <v>672</v>
      </c>
      <c r="L29" t="s">
        <v>673</v>
      </c>
      <c r="M29" t="s">
        <v>674</v>
      </c>
      <c r="N29" t="s">
        <v>15</v>
      </c>
      <c r="O29" t="s">
        <v>97</v>
      </c>
      <c r="P29">
        <v>48525.71</v>
      </c>
      <c r="Q29" t="s">
        <v>65</v>
      </c>
      <c r="R29">
        <v>43264</v>
      </c>
      <c r="S29">
        <v>1</v>
      </c>
      <c r="T29" t="s">
        <v>18</v>
      </c>
      <c r="U29" t="s">
        <v>41</v>
      </c>
      <c r="V29">
        <v>6.0273972602739727</v>
      </c>
      <c r="W29" t="s">
        <v>20</v>
      </c>
    </row>
    <row r="30" spans="2:29" x14ac:dyDescent="0.25">
      <c r="K30" t="s">
        <v>389</v>
      </c>
      <c r="L30" t="s">
        <v>390</v>
      </c>
      <c r="M30" t="s">
        <v>391</v>
      </c>
      <c r="N30" t="s">
        <v>15</v>
      </c>
      <c r="O30" t="s">
        <v>101</v>
      </c>
      <c r="P30">
        <v>36547.58</v>
      </c>
      <c r="Q30" t="s">
        <v>65</v>
      </c>
      <c r="R30">
        <v>43416</v>
      </c>
      <c r="S30">
        <v>1</v>
      </c>
      <c r="T30" t="s">
        <v>18</v>
      </c>
      <c r="U30" t="s">
        <v>19</v>
      </c>
      <c r="V30">
        <v>5.6109589041095891</v>
      </c>
      <c r="W30" t="s">
        <v>20</v>
      </c>
    </row>
    <row r="31" spans="2:29" x14ac:dyDescent="0.25">
      <c r="K31" t="s">
        <v>389</v>
      </c>
      <c r="L31" t="s">
        <v>390</v>
      </c>
      <c r="M31" t="s">
        <v>391</v>
      </c>
      <c r="N31" t="s">
        <v>15</v>
      </c>
      <c r="O31" t="s">
        <v>101</v>
      </c>
      <c r="P31">
        <v>36547.58</v>
      </c>
      <c r="Q31" t="s">
        <v>65</v>
      </c>
      <c r="R31">
        <v>43416</v>
      </c>
      <c r="S31">
        <v>1</v>
      </c>
      <c r="T31" t="s">
        <v>18</v>
      </c>
      <c r="U31" t="s">
        <v>19</v>
      </c>
      <c r="V31">
        <v>5.6109589041095891</v>
      </c>
      <c r="W31" t="s">
        <v>20</v>
      </c>
    </row>
    <row r="32" spans="2:29" x14ac:dyDescent="0.25">
      <c r="K32" t="s">
        <v>336</v>
      </c>
      <c r="L32" t="s">
        <v>337</v>
      </c>
      <c r="M32" t="s">
        <v>338</v>
      </c>
      <c r="N32" t="s">
        <v>15</v>
      </c>
      <c r="O32" t="s">
        <v>124</v>
      </c>
      <c r="P32">
        <v>115191.38</v>
      </c>
      <c r="Q32" t="s">
        <v>17</v>
      </c>
      <c r="R32">
        <v>44004</v>
      </c>
      <c r="S32">
        <v>1</v>
      </c>
      <c r="T32" t="s">
        <v>18</v>
      </c>
      <c r="U32" t="s">
        <v>41</v>
      </c>
      <c r="V32">
        <v>4</v>
      </c>
      <c r="W32" t="s">
        <v>20</v>
      </c>
    </row>
    <row r="33" spans="11:23" x14ac:dyDescent="0.25">
      <c r="K33" t="s">
        <v>533</v>
      </c>
      <c r="L33" t="s">
        <v>534</v>
      </c>
      <c r="M33" t="s">
        <v>535</v>
      </c>
      <c r="N33" t="s">
        <v>24</v>
      </c>
      <c r="O33" t="s">
        <v>16</v>
      </c>
      <c r="P33">
        <v>58861.19</v>
      </c>
      <c r="Q33" t="s">
        <v>26</v>
      </c>
      <c r="R33">
        <v>43654</v>
      </c>
      <c r="S33">
        <v>1</v>
      </c>
      <c r="T33" t="s">
        <v>18</v>
      </c>
      <c r="U33" t="s">
        <v>72</v>
      </c>
      <c r="V33">
        <v>4.9589041095890414</v>
      </c>
      <c r="W33" t="s">
        <v>20</v>
      </c>
    </row>
    <row r="34" spans="11:23" x14ac:dyDescent="0.25">
      <c r="K34" t="s">
        <v>342</v>
      </c>
      <c r="L34" t="s">
        <v>343</v>
      </c>
      <c r="M34" t="s">
        <v>344</v>
      </c>
      <c r="N34" t="s">
        <v>24</v>
      </c>
      <c r="O34" t="s">
        <v>50</v>
      </c>
      <c r="P34">
        <v>75974.990000000005</v>
      </c>
      <c r="Q34" t="s">
        <v>26</v>
      </c>
      <c r="R34">
        <v>44172</v>
      </c>
      <c r="S34">
        <v>1</v>
      </c>
      <c r="T34" t="s">
        <v>18</v>
      </c>
      <c r="U34" t="s">
        <v>19</v>
      </c>
      <c r="V34">
        <v>3.5397260273972604</v>
      </c>
      <c r="W34" t="s">
        <v>20</v>
      </c>
    </row>
    <row r="35" spans="11:23" x14ac:dyDescent="0.25">
      <c r="K35" t="s">
        <v>392</v>
      </c>
      <c r="L35" t="s">
        <v>393</v>
      </c>
      <c r="M35" t="s">
        <v>394</v>
      </c>
      <c r="N35" t="s">
        <v>15</v>
      </c>
      <c r="O35" t="s">
        <v>101</v>
      </c>
      <c r="P35">
        <v>95954.02</v>
      </c>
      <c r="Q35" t="s">
        <v>26</v>
      </c>
      <c r="R35">
        <v>43567</v>
      </c>
      <c r="S35">
        <v>0.3</v>
      </c>
      <c r="T35" t="s">
        <v>18</v>
      </c>
      <c r="U35" t="s">
        <v>41</v>
      </c>
      <c r="V35">
        <v>5.1972602739726028</v>
      </c>
      <c r="W35" t="s">
        <v>28</v>
      </c>
    </row>
    <row r="36" spans="11:23" x14ac:dyDescent="0.25">
      <c r="K36" t="s">
        <v>189</v>
      </c>
      <c r="L36" t="s">
        <v>190</v>
      </c>
      <c r="M36" t="s">
        <v>191</v>
      </c>
      <c r="N36" t="s">
        <v>24</v>
      </c>
      <c r="O36" t="s">
        <v>36</v>
      </c>
      <c r="P36">
        <v>102934.09</v>
      </c>
      <c r="Q36" t="s">
        <v>17</v>
      </c>
      <c r="R36">
        <v>44315</v>
      </c>
      <c r="S36">
        <v>1</v>
      </c>
      <c r="T36" t="s">
        <v>18</v>
      </c>
      <c r="U36" t="s">
        <v>41</v>
      </c>
      <c r="V36">
        <v>3.1479452054794521</v>
      </c>
      <c r="W36" t="s">
        <v>20</v>
      </c>
    </row>
    <row r="37" spans="11:23" x14ac:dyDescent="0.25">
      <c r="K37" t="s">
        <v>575</v>
      </c>
      <c r="L37" t="s">
        <v>319</v>
      </c>
      <c r="M37" t="s">
        <v>320</v>
      </c>
      <c r="N37" t="s">
        <v>24</v>
      </c>
      <c r="O37" t="s">
        <v>105</v>
      </c>
      <c r="P37">
        <v>41934.71</v>
      </c>
      <c r="Q37" t="s">
        <v>65</v>
      </c>
      <c r="R37">
        <v>43780</v>
      </c>
      <c r="S37">
        <v>1</v>
      </c>
      <c r="T37" t="s">
        <v>18</v>
      </c>
      <c r="U37" t="s">
        <v>19</v>
      </c>
      <c r="V37">
        <v>4.6136986301369864</v>
      </c>
      <c r="W37" t="s">
        <v>20</v>
      </c>
    </row>
    <row r="38" spans="11:23" x14ac:dyDescent="0.25">
      <c r="K38" t="s">
        <v>121</v>
      </c>
      <c r="L38" t="s">
        <v>122</v>
      </c>
      <c r="M38" t="s">
        <v>123</v>
      </c>
      <c r="N38" t="s">
        <v>15</v>
      </c>
      <c r="O38" t="s">
        <v>124</v>
      </c>
      <c r="P38">
        <v>104335.03999999999</v>
      </c>
      <c r="Q38" t="s">
        <v>17</v>
      </c>
      <c r="R38">
        <v>43874</v>
      </c>
      <c r="S38">
        <v>1</v>
      </c>
      <c r="T38" t="s">
        <v>18</v>
      </c>
      <c r="U38" t="s">
        <v>72</v>
      </c>
      <c r="V38">
        <v>4.3561643835616435</v>
      </c>
      <c r="W38" t="s">
        <v>20</v>
      </c>
    </row>
    <row r="39" spans="11:23" x14ac:dyDescent="0.25">
      <c r="K39" t="s">
        <v>445</v>
      </c>
      <c r="L39" t="s">
        <v>446</v>
      </c>
      <c r="M39" t="s">
        <v>447</v>
      </c>
      <c r="N39" t="s">
        <v>24</v>
      </c>
      <c r="O39" t="s">
        <v>32</v>
      </c>
      <c r="P39">
        <v>81897.789999999994</v>
      </c>
      <c r="Q39" t="s">
        <v>26</v>
      </c>
      <c r="R39">
        <v>43146</v>
      </c>
      <c r="S39">
        <v>1</v>
      </c>
      <c r="T39" t="s">
        <v>18</v>
      </c>
      <c r="U39" t="s">
        <v>77</v>
      </c>
      <c r="V39">
        <v>6.3506849315068497</v>
      </c>
      <c r="W39" t="s">
        <v>20</v>
      </c>
    </row>
    <row r="40" spans="11:23" x14ac:dyDescent="0.25">
      <c r="K40" t="s">
        <v>707</v>
      </c>
      <c r="L40" t="s">
        <v>708</v>
      </c>
      <c r="M40" t="s">
        <v>709</v>
      </c>
      <c r="N40" t="s">
        <v>24</v>
      </c>
      <c r="O40" t="s">
        <v>16</v>
      </c>
      <c r="P40">
        <v>78378.2</v>
      </c>
      <c r="Q40" t="s">
        <v>26</v>
      </c>
      <c r="R40">
        <v>43465</v>
      </c>
      <c r="S40">
        <v>0.4</v>
      </c>
      <c r="T40" t="s">
        <v>18</v>
      </c>
      <c r="U40" t="s">
        <v>19</v>
      </c>
      <c r="V40">
        <v>5.4767123287671229</v>
      </c>
      <c r="W40" t="s">
        <v>28</v>
      </c>
    </row>
    <row r="41" spans="11:23" x14ac:dyDescent="0.25">
      <c r="K41" t="s">
        <v>115</v>
      </c>
      <c r="L41" t="s">
        <v>116</v>
      </c>
      <c r="M41" t="s">
        <v>117</v>
      </c>
      <c r="N41" t="s">
        <v>24</v>
      </c>
      <c r="O41" t="s">
        <v>97</v>
      </c>
      <c r="P41">
        <v>61994.76</v>
      </c>
      <c r="Q41" t="s">
        <v>26</v>
      </c>
      <c r="R41">
        <v>43794</v>
      </c>
      <c r="S41">
        <v>0.3</v>
      </c>
      <c r="T41" t="s">
        <v>18</v>
      </c>
      <c r="U41" t="s">
        <v>41</v>
      </c>
      <c r="V41">
        <v>4.5753424657534243</v>
      </c>
      <c r="W41" t="s">
        <v>28</v>
      </c>
    </row>
    <row r="42" spans="11:23" x14ac:dyDescent="0.25">
      <c r="K42" t="s">
        <v>216</v>
      </c>
      <c r="L42" t="s">
        <v>217</v>
      </c>
      <c r="M42" t="s">
        <v>218</v>
      </c>
      <c r="N42" t="s">
        <v>15</v>
      </c>
      <c r="O42" t="s">
        <v>54</v>
      </c>
      <c r="P42">
        <v>37362.300000000003</v>
      </c>
      <c r="Q42" t="s">
        <v>65</v>
      </c>
      <c r="R42">
        <v>43642</v>
      </c>
      <c r="S42">
        <v>1</v>
      </c>
      <c r="T42" t="s">
        <v>18</v>
      </c>
      <c r="U42" t="s">
        <v>77</v>
      </c>
      <c r="V42">
        <v>4.9917808219178079</v>
      </c>
      <c r="W42" t="s">
        <v>20</v>
      </c>
    </row>
    <row r="43" spans="11:23" x14ac:dyDescent="0.25">
      <c r="K43" t="s">
        <v>560</v>
      </c>
      <c r="L43" t="s">
        <v>561</v>
      </c>
      <c r="M43" t="s">
        <v>562</v>
      </c>
      <c r="N43" t="s">
        <v>24</v>
      </c>
      <c r="O43" t="s">
        <v>36</v>
      </c>
      <c r="P43">
        <v>84745.93</v>
      </c>
      <c r="Q43" t="s">
        <v>26</v>
      </c>
      <c r="R43">
        <v>43707</v>
      </c>
      <c r="S43">
        <v>1</v>
      </c>
      <c r="T43" t="s">
        <v>18</v>
      </c>
      <c r="U43" t="s">
        <v>45</v>
      </c>
      <c r="V43">
        <v>4.8136986301369866</v>
      </c>
      <c r="W43" t="s">
        <v>20</v>
      </c>
    </row>
    <row r="44" spans="11:23" x14ac:dyDescent="0.25">
      <c r="K44" t="s">
        <v>273</v>
      </c>
      <c r="L44" t="s">
        <v>274</v>
      </c>
      <c r="M44" t="s">
        <v>275</v>
      </c>
      <c r="N44" t="s">
        <v>15</v>
      </c>
      <c r="O44" t="s">
        <v>105</v>
      </c>
      <c r="P44">
        <v>32192.15</v>
      </c>
      <c r="Q44" t="s">
        <v>65</v>
      </c>
      <c r="R44">
        <v>44473</v>
      </c>
      <c r="S44">
        <v>1</v>
      </c>
      <c r="T44" t="s">
        <v>18</v>
      </c>
      <c r="U44" t="s">
        <v>41</v>
      </c>
      <c r="V44">
        <v>2.7150684931506848</v>
      </c>
      <c r="W44" t="s">
        <v>20</v>
      </c>
    </row>
    <row r="45" spans="11:23" x14ac:dyDescent="0.25">
      <c r="K45" t="s">
        <v>642</v>
      </c>
      <c r="L45" t="s">
        <v>643</v>
      </c>
      <c r="M45" t="s">
        <v>644</v>
      </c>
      <c r="N45" t="s">
        <v>15</v>
      </c>
      <c r="O45" t="s">
        <v>50</v>
      </c>
      <c r="P45">
        <v>36714.379999999997</v>
      </c>
      <c r="Q45" t="s">
        <v>65</v>
      </c>
      <c r="R45">
        <v>44175</v>
      </c>
      <c r="S45">
        <v>1</v>
      </c>
      <c r="T45" t="s">
        <v>18</v>
      </c>
      <c r="U45" t="s">
        <v>84</v>
      </c>
      <c r="V45">
        <v>3.5315068493150683</v>
      </c>
      <c r="W45" t="s">
        <v>20</v>
      </c>
    </row>
    <row r="46" spans="11:23" x14ac:dyDescent="0.25">
      <c r="K46" t="s">
        <v>118</v>
      </c>
      <c r="L46" t="s">
        <v>119</v>
      </c>
      <c r="M46" t="s">
        <v>120</v>
      </c>
      <c r="N46" t="s">
        <v>24</v>
      </c>
      <c r="O46" t="s">
        <v>32</v>
      </c>
      <c r="P46">
        <v>89690.38</v>
      </c>
      <c r="Q46" t="s">
        <v>26</v>
      </c>
      <c r="R46">
        <v>43206</v>
      </c>
      <c r="S46">
        <v>1</v>
      </c>
      <c r="T46" t="s">
        <v>18</v>
      </c>
      <c r="U46" t="s">
        <v>45</v>
      </c>
      <c r="V46">
        <v>6.1863013698630134</v>
      </c>
      <c r="W46" t="s">
        <v>20</v>
      </c>
    </row>
    <row r="47" spans="11:23" x14ac:dyDescent="0.25">
      <c r="K47" t="s">
        <v>469</v>
      </c>
      <c r="L47" t="s">
        <v>470</v>
      </c>
      <c r="M47" t="s">
        <v>471</v>
      </c>
      <c r="N47" t="s">
        <v>24</v>
      </c>
      <c r="O47" t="s">
        <v>105</v>
      </c>
      <c r="P47">
        <v>39535.49</v>
      </c>
      <c r="Q47" t="s">
        <v>65</v>
      </c>
      <c r="R47">
        <v>43397</v>
      </c>
      <c r="S47">
        <v>0.3</v>
      </c>
      <c r="T47" t="s">
        <v>18</v>
      </c>
      <c r="U47" t="s">
        <v>19</v>
      </c>
      <c r="V47">
        <v>5.6630136986301371</v>
      </c>
      <c r="W47" t="s">
        <v>28</v>
      </c>
    </row>
    <row r="48" spans="11:23" x14ac:dyDescent="0.25">
      <c r="K48" t="s">
        <v>102</v>
      </c>
      <c r="L48" t="s">
        <v>103</v>
      </c>
      <c r="M48" t="s">
        <v>104</v>
      </c>
      <c r="N48" t="s">
        <v>15</v>
      </c>
      <c r="O48" t="s">
        <v>105</v>
      </c>
      <c r="P48">
        <v>62195.47</v>
      </c>
      <c r="Q48" t="s">
        <v>26</v>
      </c>
      <c r="R48">
        <v>44434</v>
      </c>
      <c r="S48">
        <v>1</v>
      </c>
      <c r="T48" t="s">
        <v>18</v>
      </c>
      <c r="U48" t="s">
        <v>19</v>
      </c>
      <c r="V48">
        <v>2.8219178082191783</v>
      </c>
      <c r="W48" t="s">
        <v>20</v>
      </c>
    </row>
    <row r="49" spans="11:23" x14ac:dyDescent="0.25">
      <c r="K49" t="s">
        <v>721</v>
      </c>
      <c r="L49" t="s">
        <v>220</v>
      </c>
      <c r="M49" t="s">
        <v>221</v>
      </c>
      <c r="N49" t="s">
        <v>15</v>
      </c>
      <c r="O49" t="s">
        <v>97</v>
      </c>
      <c r="P49">
        <v>72876.91</v>
      </c>
      <c r="Q49" t="s">
        <v>26</v>
      </c>
      <c r="R49">
        <v>43837</v>
      </c>
      <c r="S49">
        <v>1</v>
      </c>
      <c r="T49" t="s">
        <v>18</v>
      </c>
      <c r="U49" t="s">
        <v>19</v>
      </c>
      <c r="V49">
        <v>4.4575342465753423</v>
      </c>
      <c r="W49" t="s">
        <v>20</v>
      </c>
    </row>
    <row r="50" spans="11:23" x14ac:dyDescent="0.25">
      <c r="K50" t="s">
        <v>321</v>
      </c>
      <c r="L50" t="s">
        <v>322</v>
      </c>
      <c r="M50" t="s">
        <v>323</v>
      </c>
      <c r="N50" t="s">
        <v>15</v>
      </c>
      <c r="O50" t="s">
        <v>131</v>
      </c>
      <c r="P50">
        <v>66572.58</v>
      </c>
      <c r="Q50" t="s">
        <v>26</v>
      </c>
      <c r="R50">
        <v>44193</v>
      </c>
      <c r="S50">
        <v>1</v>
      </c>
      <c r="T50" t="s">
        <v>18</v>
      </c>
      <c r="U50" t="s">
        <v>84</v>
      </c>
      <c r="V50">
        <v>3.4821917808219176</v>
      </c>
      <c r="W50" t="s">
        <v>20</v>
      </c>
    </row>
    <row r="51" spans="11:23" x14ac:dyDescent="0.25">
      <c r="K51" t="s">
        <v>321</v>
      </c>
      <c r="L51" t="s">
        <v>713</v>
      </c>
      <c r="M51" t="s">
        <v>714</v>
      </c>
      <c r="N51" t="s">
        <v>15</v>
      </c>
      <c r="O51" t="s">
        <v>131</v>
      </c>
      <c r="P51">
        <v>66572.58</v>
      </c>
      <c r="Q51" t="s">
        <v>26</v>
      </c>
      <c r="R51">
        <v>44193</v>
      </c>
      <c r="S51">
        <v>1</v>
      </c>
      <c r="T51" t="s">
        <v>18</v>
      </c>
      <c r="U51" t="s">
        <v>84</v>
      </c>
      <c r="V51">
        <v>3.4821917808219176</v>
      </c>
      <c r="W51" t="s">
        <v>20</v>
      </c>
    </row>
    <row r="52" spans="11:23" x14ac:dyDescent="0.25">
      <c r="K52" t="s">
        <v>198</v>
      </c>
      <c r="L52" t="s">
        <v>199</v>
      </c>
      <c r="M52" t="s">
        <v>200</v>
      </c>
      <c r="N52" t="s">
        <v>24</v>
      </c>
      <c r="O52" t="s">
        <v>97</v>
      </c>
      <c r="P52">
        <v>35943.620000000003</v>
      </c>
      <c r="Q52" t="s">
        <v>65</v>
      </c>
      <c r="R52">
        <v>44078</v>
      </c>
      <c r="S52">
        <v>1</v>
      </c>
      <c r="T52" t="s">
        <v>18</v>
      </c>
      <c r="U52" t="s">
        <v>72</v>
      </c>
      <c r="V52">
        <v>3.7972602739726029</v>
      </c>
      <c r="W52" t="s">
        <v>20</v>
      </c>
    </row>
    <row r="53" spans="11:23" x14ac:dyDescent="0.25">
      <c r="K53" t="s">
        <v>501</v>
      </c>
      <c r="L53" t="s">
        <v>502</v>
      </c>
      <c r="M53" t="s">
        <v>503</v>
      </c>
      <c r="N53" t="s">
        <v>15</v>
      </c>
      <c r="O53" t="s">
        <v>101</v>
      </c>
      <c r="P53">
        <v>119022.49</v>
      </c>
      <c r="Q53" t="s">
        <v>17</v>
      </c>
      <c r="R53">
        <v>44431</v>
      </c>
      <c r="S53">
        <v>1</v>
      </c>
      <c r="T53" t="s">
        <v>18</v>
      </c>
      <c r="U53" t="s">
        <v>77</v>
      </c>
      <c r="V53">
        <v>2.8301369863013699</v>
      </c>
      <c r="W53" t="s">
        <v>20</v>
      </c>
    </row>
    <row r="54" spans="11:23" x14ac:dyDescent="0.25">
      <c r="K54" t="s">
        <v>258</v>
      </c>
      <c r="L54" t="s">
        <v>259</v>
      </c>
      <c r="M54" t="s">
        <v>260</v>
      </c>
      <c r="N54" t="s">
        <v>15</v>
      </c>
      <c r="O54" t="s">
        <v>54</v>
      </c>
      <c r="P54">
        <v>65699.02</v>
      </c>
      <c r="Q54" t="s">
        <v>26</v>
      </c>
      <c r="R54">
        <v>43951</v>
      </c>
      <c r="S54">
        <v>1</v>
      </c>
      <c r="T54" t="s">
        <v>18</v>
      </c>
      <c r="U54" t="s">
        <v>72</v>
      </c>
      <c r="V54">
        <v>4.1452054794520548</v>
      </c>
      <c r="W54" t="s">
        <v>20</v>
      </c>
    </row>
    <row r="55" spans="11:23" x14ac:dyDescent="0.25">
      <c r="K55" t="s">
        <v>728</v>
      </c>
      <c r="L55" t="s">
        <v>729</v>
      </c>
      <c r="M55" t="s">
        <v>730</v>
      </c>
      <c r="N55" t="s">
        <v>24</v>
      </c>
      <c r="O55" t="s">
        <v>105</v>
      </c>
      <c r="P55">
        <v>47551.89</v>
      </c>
      <c r="Q55" t="s">
        <v>65</v>
      </c>
      <c r="R55">
        <v>43468</v>
      </c>
      <c r="S55">
        <v>1</v>
      </c>
      <c r="T55" t="s">
        <v>18</v>
      </c>
      <c r="U55" t="s">
        <v>77</v>
      </c>
      <c r="V55">
        <v>5.4684931506849317</v>
      </c>
      <c r="W55" t="s">
        <v>20</v>
      </c>
    </row>
    <row r="56" spans="11:23" x14ac:dyDescent="0.25">
      <c r="K56" t="s">
        <v>282</v>
      </c>
      <c r="L56" t="s">
        <v>283</v>
      </c>
      <c r="M56" t="s">
        <v>284</v>
      </c>
      <c r="N56" t="s">
        <v>24</v>
      </c>
      <c r="O56" t="s">
        <v>25</v>
      </c>
      <c r="P56">
        <v>80695.740000000005</v>
      </c>
      <c r="Q56" t="s">
        <v>26</v>
      </c>
      <c r="R56">
        <v>43787</v>
      </c>
      <c r="S56">
        <v>0.8</v>
      </c>
      <c r="T56" t="s">
        <v>18</v>
      </c>
      <c r="U56" t="s">
        <v>72</v>
      </c>
      <c r="V56">
        <v>4.5945205479452058</v>
      </c>
      <c r="W56" t="s">
        <v>28</v>
      </c>
    </row>
    <row r="57" spans="11:23" x14ac:dyDescent="0.25">
      <c r="K57" t="s">
        <v>413</v>
      </c>
      <c r="L57" t="s">
        <v>414</v>
      </c>
      <c r="M57" t="s">
        <v>415</v>
      </c>
      <c r="N57" t="s">
        <v>24</v>
      </c>
      <c r="O57" t="s">
        <v>58</v>
      </c>
      <c r="P57">
        <v>92336.08</v>
      </c>
      <c r="Q57" t="s">
        <v>26</v>
      </c>
      <c r="R57">
        <v>44431</v>
      </c>
      <c r="S57">
        <v>1</v>
      </c>
      <c r="T57" t="s">
        <v>18</v>
      </c>
      <c r="U57" t="s">
        <v>41</v>
      </c>
      <c r="V57">
        <v>2.8301369863013699</v>
      </c>
      <c r="W57" t="s">
        <v>20</v>
      </c>
    </row>
    <row r="58" spans="11:23" x14ac:dyDescent="0.25">
      <c r="K58" t="s">
        <v>69</v>
      </c>
      <c r="L58" t="s">
        <v>70</v>
      </c>
      <c r="M58" t="s">
        <v>71</v>
      </c>
      <c r="N58" t="s">
        <v>24</v>
      </c>
      <c r="O58" t="s">
        <v>25</v>
      </c>
      <c r="P58">
        <v>69192.850000000006</v>
      </c>
      <c r="Q58" t="s">
        <v>26</v>
      </c>
      <c r="R58">
        <v>44305</v>
      </c>
      <c r="S58">
        <v>1</v>
      </c>
      <c r="T58" t="s">
        <v>18</v>
      </c>
      <c r="U58" t="s">
        <v>72</v>
      </c>
      <c r="V58">
        <v>3.1753424657534248</v>
      </c>
      <c r="W58" t="s">
        <v>20</v>
      </c>
    </row>
    <row r="59" spans="11:23" x14ac:dyDescent="0.25">
      <c r="K59" t="s">
        <v>46</v>
      </c>
      <c r="L59" t="s">
        <v>47</v>
      </c>
      <c r="M59" t="s">
        <v>48</v>
      </c>
      <c r="N59" t="s">
        <v>49</v>
      </c>
      <c r="O59" t="s">
        <v>50</v>
      </c>
      <c r="P59">
        <v>104802.63</v>
      </c>
      <c r="Q59" t="s">
        <v>17</v>
      </c>
      <c r="R59">
        <v>44502</v>
      </c>
      <c r="S59">
        <v>1</v>
      </c>
      <c r="T59" t="s">
        <v>18</v>
      </c>
      <c r="U59" t="s">
        <v>41</v>
      </c>
      <c r="V59">
        <v>2.6356164383561644</v>
      </c>
      <c r="W59" t="s">
        <v>20</v>
      </c>
    </row>
    <row r="60" spans="11:23" x14ac:dyDescent="0.25">
      <c r="K60" t="s">
        <v>21</v>
      </c>
      <c r="L60" t="s">
        <v>22</v>
      </c>
      <c r="M60" t="s">
        <v>23</v>
      </c>
      <c r="N60" t="s">
        <v>24</v>
      </c>
      <c r="O60" t="s">
        <v>25</v>
      </c>
      <c r="P60">
        <v>98000</v>
      </c>
      <c r="Q60" t="s">
        <v>26</v>
      </c>
      <c r="R60">
        <v>43710</v>
      </c>
      <c r="S60">
        <v>0.9</v>
      </c>
      <c r="T60" t="s">
        <v>18</v>
      </c>
      <c r="U60" t="s">
        <v>27</v>
      </c>
      <c r="V60">
        <v>4.8054794520547945</v>
      </c>
      <c r="W60" t="s">
        <v>28</v>
      </c>
    </row>
    <row r="61" spans="11:23" x14ac:dyDescent="0.25">
      <c r="K61" t="s">
        <v>624</v>
      </c>
      <c r="L61" t="s">
        <v>625</v>
      </c>
      <c r="M61" t="s">
        <v>626</v>
      </c>
      <c r="N61" t="s">
        <v>24</v>
      </c>
      <c r="O61" t="s">
        <v>105</v>
      </c>
      <c r="P61">
        <v>77045.440000000002</v>
      </c>
      <c r="Q61" t="s">
        <v>26</v>
      </c>
      <c r="R61">
        <v>43636</v>
      </c>
      <c r="S61">
        <v>1</v>
      </c>
      <c r="T61" t="s">
        <v>18</v>
      </c>
      <c r="U61" t="s">
        <v>19</v>
      </c>
      <c r="V61">
        <v>5.0082191780821921</v>
      </c>
      <c r="W61" t="s">
        <v>20</v>
      </c>
    </row>
    <row r="62" spans="11:23" x14ac:dyDescent="0.25">
      <c r="K62" t="s">
        <v>434</v>
      </c>
      <c r="L62" t="s">
        <v>435</v>
      </c>
      <c r="M62" t="s">
        <v>436</v>
      </c>
      <c r="N62" t="s">
        <v>15</v>
      </c>
      <c r="O62" t="s">
        <v>25</v>
      </c>
      <c r="P62">
        <v>110042.37</v>
      </c>
      <c r="Q62" t="s">
        <v>17</v>
      </c>
      <c r="R62">
        <v>43914</v>
      </c>
      <c r="S62">
        <v>1</v>
      </c>
      <c r="T62" t="s">
        <v>18</v>
      </c>
      <c r="U62" t="s">
        <v>72</v>
      </c>
      <c r="V62">
        <v>4.2465753424657535</v>
      </c>
      <c r="W62" t="s">
        <v>20</v>
      </c>
    </row>
    <row r="63" spans="11:23" x14ac:dyDescent="0.25">
      <c r="K63" t="s">
        <v>578</v>
      </c>
      <c r="L63" t="s">
        <v>579</v>
      </c>
      <c r="M63" t="s">
        <v>580</v>
      </c>
      <c r="N63" t="s">
        <v>15</v>
      </c>
      <c r="O63" t="s">
        <v>58</v>
      </c>
      <c r="P63">
        <v>62281.24</v>
      </c>
      <c r="Q63" t="s">
        <v>26</v>
      </c>
      <c r="R63">
        <v>43272</v>
      </c>
      <c r="S63">
        <v>1</v>
      </c>
      <c r="T63" t="s">
        <v>18</v>
      </c>
      <c r="U63" t="s">
        <v>19</v>
      </c>
      <c r="V63">
        <v>6.0054794520547947</v>
      </c>
      <c r="W63" t="s">
        <v>20</v>
      </c>
    </row>
    <row r="64" spans="11:23" x14ac:dyDescent="0.25">
      <c r="K64" t="s">
        <v>510</v>
      </c>
      <c r="L64" t="s">
        <v>511</v>
      </c>
      <c r="M64" t="s">
        <v>512</v>
      </c>
      <c r="N64" t="s">
        <v>24</v>
      </c>
      <c r="O64" t="s">
        <v>36</v>
      </c>
      <c r="P64">
        <v>86010.54</v>
      </c>
      <c r="Q64" t="s">
        <v>26</v>
      </c>
      <c r="R64">
        <v>43164</v>
      </c>
      <c r="S64">
        <v>1</v>
      </c>
      <c r="T64" t="s">
        <v>18</v>
      </c>
      <c r="U64" t="s">
        <v>84</v>
      </c>
      <c r="V64">
        <v>6.3013698630136989</v>
      </c>
      <c r="W64" t="s">
        <v>20</v>
      </c>
    </row>
    <row r="65" spans="11:23" x14ac:dyDescent="0.25">
      <c r="K65" t="s">
        <v>42</v>
      </c>
      <c r="L65" t="s">
        <v>43</v>
      </c>
      <c r="M65" t="s">
        <v>44</v>
      </c>
      <c r="N65" t="s">
        <v>15</v>
      </c>
      <c r="O65" t="s">
        <v>16</v>
      </c>
      <c r="P65">
        <v>118976.16</v>
      </c>
      <c r="Q65" t="s">
        <v>17</v>
      </c>
      <c r="R65">
        <v>44120</v>
      </c>
      <c r="S65">
        <v>1</v>
      </c>
      <c r="T65" t="s">
        <v>18</v>
      </c>
      <c r="U65" t="s">
        <v>45</v>
      </c>
      <c r="V65">
        <v>3.6821917808219178</v>
      </c>
      <c r="W65" t="s">
        <v>20</v>
      </c>
    </row>
    <row r="66" spans="11:23" x14ac:dyDescent="0.25">
      <c r="K66" t="s">
        <v>605</v>
      </c>
      <c r="L66" t="s">
        <v>606</v>
      </c>
      <c r="M66" t="s">
        <v>607</v>
      </c>
      <c r="N66" t="s">
        <v>24</v>
      </c>
      <c r="O66" t="s">
        <v>32</v>
      </c>
      <c r="P66">
        <v>71229.42</v>
      </c>
      <c r="Q66" t="s">
        <v>26</v>
      </c>
      <c r="R66">
        <v>44166</v>
      </c>
      <c r="S66">
        <v>1</v>
      </c>
      <c r="T66" t="s">
        <v>18</v>
      </c>
      <c r="U66" t="s">
        <v>41</v>
      </c>
      <c r="V66">
        <v>3.5561643835616437</v>
      </c>
      <c r="W66" t="s">
        <v>20</v>
      </c>
    </row>
    <row r="67" spans="11:23" x14ac:dyDescent="0.25">
      <c r="K67" t="s">
        <v>657</v>
      </c>
      <c r="L67" t="s">
        <v>658</v>
      </c>
      <c r="M67" t="s">
        <v>659</v>
      </c>
      <c r="N67" t="s">
        <v>24</v>
      </c>
      <c r="O67" t="s">
        <v>131</v>
      </c>
      <c r="P67">
        <v>61213.01</v>
      </c>
      <c r="Q67" t="s">
        <v>26</v>
      </c>
      <c r="R67">
        <v>44365</v>
      </c>
      <c r="S67">
        <v>1</v>
      </c>
      <c r="T67" t="s">
        <v>18</v>
      </c>
      <c r="U67" t="s">
        <v>84</v>
      </c>
      <c r="V67">
        <v>3.010958904109589</v>
      </c>
      <c r="W67" t="s">
        <v>20</v>
      </c>
    </row>
    <row r="68" spans="11:23" x14ac:dyDescent="0.25">
      <c r="K68" t="s">
        <v>186</v>
      </c>
      <c r="L68" t="s">
        <v>187</v>
      </c>
      <c r="M68" t="s">
        <v>188</v>
      </c>
      <c r="N68" t="s">
        <v>15</v>
      </c>
      <c r="O68" t="s">
        <v>54</v>
      </c>
      <c r="P68">
        <v>40753.54</v>
      </c>
      <c r="Q68" t="s">
        <v>65</v>
      </c>
      <c r="R68">
        <v>43152</v>
      </c>
      <c r="S68">
        <v>0.6</v>
      </c>
      <c r="T68" t="s">
        <v>18</v>
      </c>
      <c r="U68" t="s">
        <v>45</v>
      </c>
      <c r="V68">
        <v>6.3342465753424655</v>
      </c>
      <c r="W68" t="s">
        <v>28</v>
      </c>
    </row>
    <row r="69" spans="11:23" x14ac:dyDescent="0.25">
      <c r="K69" t="s">
        <v>318</v>
      </c>
      <c r="L69" t="s">
        <v>319</v>
      </c>
      <c r="M69" t="s">
        <v>320</v>
      </c>
      <c r="N69" t="s">
        <v>24</v>
      </c>
      <c r="O69" t="s">
        <v>105</v>
      </c>
      <c r="P69">
        <v>41934.71</v>
      </c>
      <c r="Q69" t="s">
        <v>65</v>
      </c>
      <c r="R69">
        <v>43943</v>
      </c>
      <c r="S69">
        <v>1</v>
      </c>
      <c r="T69" t="s">
        <v>18</v>
      </c>
      <c r="U69" t="s">
        <v>19</v>
      </c>
      <c r="V69">
        <v>4.1671232876712327</v>
      </c>
      <c r="W69" t="s">
        <v>20</v>
      </c>
    </row>
    <row r="70" spans="11:23" x14ac:dyDescent="0.25">
      <c r="K70" t="s">
        <v>339</v>
      </c>
      <c r="L70" t="s">
        <v>340</v>
      </c>
      <c r="M70" t="s">
        <v>341</v>
      </c>
      <c r="N70" t="s">
        <v>24</v>
      </c>
      <c r="O70" t="s">
        <v>131</v>
      </c>
      <c r="P70">
        <v>111049.84</v>
      </c>
      <c r="Q70" t="s">
        <v>17</v>
      </c>
      <c r="R70">
        <v>44393</v>
      </c>
      <c r="S70">
        <v>1</v>
      </c>
      <c r="T70" t="s">
        <v>18</v>
      </c>
      <c r="U70" t="s">
        <v>45</v>
      </c>
      <c r="V70">
        <v>2.9342465753424656</v>
      </c>
      <c r="W70" t="s">
        <v>20</v>
      </c>
    </row>
    <row r="71" spans="11:23" x14ac:dyDescent="0.25">
      <c r="K71" t="s">
        <v>55</v>
      </c>
      <c r="L71" t="s">
        <v>56</v>
      </c>
      <c r="M71" t="s">
        <v>57</v>
      </c>
      <c r="N71" t="s">
        <v>15</v>
      </c>
      <c r="O71" t="s">
        <v>58</v>
      </c>
      <c r="P71">
        <v>74279.009999999995</v>
      </c>
      <c r="Q71" t="s">
        <v>26</v>
      </c>
      <c r="R71">
        <v>43466</v>
      </c>
      <c r="S71">
        <v>1</v>
      </c>
      <c r="T71" t="s">
        <v>18</v>
      </c>
      <c r="U71" t="s">
        <v>45</v>
      </c>
      <c r="V71">
        <v>5.4739726027397264</v>
      </c>
      <c r="W71" t="s">
        <v>20</v>
      </c>
    </row>
    <row r="72" spans="11:23" x14ac:dyDescent="0.25">
      <c r="K72" t="s">
        <v>78</v>
      </c>
      <c r="L72" t="s">
        <v>79</v>
      </c>
      <c r="M72" t="s">
        <v>80</v>
      </c>
      <c r="N72" t="s">
        <v>15</v>
      </c>
      <c r="O72" t="s">
        <v>50</v>
      </c>
      <c r="P72">
        <v>54137.05</v>
      </c>
      <c r="Q72" t="s">
        <v>26</v>
      </c>
      <c r="R72">
        <v>43763</v>
      </c>
      <c r="S72">
        <v>1</v>
      </c>
      <c r="T72" t="s">
        <v>18</v>
      </c>
      <c r="U72" t="s">
        <v>19</v>
      </c>
      <c r="V72">
        <v>4.6602739726027398</v>
      </c>
      <c r="W72" t="s">
        <v>20</v>
      </c>
    </row>
    <row r="73" spans="11:23" x14ac:dyDescent="0.25">
      <c r="K73" t="s">
        <v>365</v>
      </c>
      <c r="L73" t="s">
        <v>366</v>
      </c>
      <c r="M73" t="s">
        <v>367</v>
      </c>
      <c r="N73" t="s">
        <v>24</v>
      </c>
      <c r="O73" t="s">
        <v>32</v>
      </c>
      <c r="P73">
        <v>89690.38</v>
      </c>
      <c r="Q73" t="s">
        <v>26</v>
      </c>
      <c r="R73">
        <v>43213</v>
      </c>
      <c r="S73">
        <v>1</v>
      </c>
      <c r="T73" t="s">
        <v>18</v>
      </c>
      <c r="U73" t="s">
        <v>41</v>
      </c>
      <c r="V73">
        <v>6.1671232876712327</v>
      </c>
      <c r="W73" t="s">
        <v>20</v>
      </c>
    </row>
    <row r="74" spans="11:23" x14ac:dyDescent="0.25">
      <c r="K74" t="s">
        <v>210</v>
      </c>
      <c r="L74" t="s">
        <v>211</v>
      </c>
      <c r="M74" t="s">
        <v>212</v>
      </c>
      <c r="N74" t="s">
        <v>24</v>
      </c>
      <c r="O74" t="s">
        <v>124</v>
      </c>
      <c r="P74">
        <v>38438.239999999998</v>
      </c>
      <c r="Q74" t="s">
        <v>65</v>
      </c>
      <c r="R74">
        <v>43962</v>
      </c>
      <c r="S74">
        <v>1</v>
      </c>
      <c r="T74" t="s">
        <v>18</v>
      </c>
      <c r="U74" t="s">
        <v>84</v>
      </c>
      <c r="V74">
        <v>4.1150684931506847</v>
      </c>
      <c r="W74" t="s">
        <v>20</v>
      </c>
    </row>
    <row r="75" spans="11:23" x14ac:dyDescent="0.25">
      <c r="K75" t="s">
        <v>210</v>
      </c>
      <c r="L75" t="s">
        <v>490</v>
      </c>
      <c r="M75" t="s">
        <v>491</v>
      </c>
      <c r="N75" t="s">
        <v>24</v>
      </c>
      <c r="O75" t="s">
        <v>124</v>
      </c>
      <c r="P75">
        <v>38438.239999999998</v>
      </c>
      <c r="Q75" t="s">
        <v>65</v>
      </c>
      <c r="R75">
        <v>43962</v>
      </c>
      <c r="S75">
        <v>1</v>
      </c>
      <c r="T75" t="s">
        <v>18</v>
      </c>
      <c r="U75" t="s">
        <v>84</v>
      </c>
      <c r="V75">
        <v>4.1150684931506847</v>
      </c>
      <c r="W75" t="s">
        <v>20</v>
      </c>
    </row>
    <row r="76" spans="11:23" x14ac:dyDescent="0.25">
      <c r="K76" t="s">
        <v>407</v>
      </c>
      <c r="L76" t="s">
        <v>408</v>
      </c>
      <c r="M76" t="s">
        <v>409</v>
      </c>
      <c r="N76" t="s">
        <v>24</v>
      </c>
      <c r="O76" t="s">
        <v>58</v>
      </c>
      <c r="P76">
        <v>44447.26</v>
      </c>
      <c r="Q76" t="s">
        <v>65</v>
      </c>
      <c r="R76">
        <v>43846</v>
      </c>
      <c r="S76">
        <v>0.4</v>
      </c>
      <c r="T76" t="s">
        <v>18</v>
      </c>
      <c r="U76" t="s">
        <v>27</v>
      </c>
      <c r="V76">
        <v>4.4328767123287669</v>
      </c>
      <c r="W76" t="s">
        <v>28</v>
      </c>
    </row>
    <row r="77" spans="11:23" x14ac:dyDescent="0.25">
      <c r="K77" t="s">
        <v>419</v>
      </c>
      <c r="L77" t="s">
        <v>420</v>
      </c>
      <c r="M77" t="s">
        <v>421</v>
      </c>
      <c r="N77" t="s">
        <v>15</v>
      </c>
      <c r="O77" t="s">
        <v>124</v>
      </c>
      <c r="P77">
        <v>74924.649999999994</v>
      </c>
      <c r="Q77" t="s">
        <v>26</v>
      </c>
      <c r="R77">
        <v>44239</v>
      </c>
      <c r="S77">
        <v>1</v>
      </c>
      <c r="T77" t="s">
        <v>18</v>
      </c>
      <c r="U77" t="s">
        <v>41</v>
      </c>
      <c r="V77">
        <v>3.3561643835616439</v>
      </c>
      <c r="W77" t="s">
        <v>20</v>
      </c>
    </row>
    <row r="78" spans="11:23" x14ac:dyDescent="0.25">
      <c r="K78" t="s">
        <v>162</v>
      </c>
      <c r="L78" t="s">
        <v>163</v>
      </c>
      <c r="M78" t="s">
        <v>164</v>
      </c>
      <c r="N78" t="s">
        <v>15</v>
      </c>
      <c r="O78" t="s">
        <v>97</v>
      </c>
      <c r="P78">
        <v>86556.96</v>
      </c>
      <c r="Q78" t="s">
        <v>26</v>
      </c>
      <c r="R78">
        <v>44104</v>
      </c>
      <c r="S78">
        <v>1</v>
      </c>
      <c r="T78" t="s">
        <v>18</v>
      </c>
      <c r="U78" t="s">
        <v>41</v>
      </c>
      <c r="V78">
        <v>3.7260273972602738</v>
      </c>
      <c r="W78" t="s">
        <v>20</v>
      </c>
    </row>
    <row r="79" spans="11:23" x14ac:dyDescent="0.25">
      <c r="K79" t="s">
        <v>416</v>
      </c>
      <c r="L79" t="s">
        <v>417</v>
      </c>
      <c r="M79" t="s">
        <v>418</v>
      </c>
      <c r="N79" t="s">
        <v>24</v>
      </c>
      <c r="O79" t="s">
        <v>54</v>
      </c>
      <c r="P79">
        <v>68008.55</v>
      </c>
      <c r="Q79" t="s">
        <v>26</v>
      </c>
      <c r="R79">
        <v>44062</v>
      </c>
      <c r="S79">
        <v>1</v>
      </c>
      <c r="T79" t="s">
        <v>18</v>
      </c>
      <c r="U79" t="s">
        <v>77</v>
      </c>
      <c r="V79">
        <v>3.8410958904109589</v>
      </c>
      <c r="W79" t="s">
        <v>20</v>
      </c>
    </row>
    <row r="80" spans="11:23" x14ac:dyDescent="0.25">
      <c r="K80" t="s">
        <v>128</v>
      </c>
      <c r="L80" t="s">
        <v>129</v>
      </c>
      <c r="M80" t="s">
        <v>130</v>
      </c>
      <c r="N80" t="s">
        <v>15</v>
      </c>
      <c r="O80" t="s">
        <v>131</v>
      </c>
      <c r="P80">
        <v>90697.67</v>
      </c>
      <c r="Q80" t="s">
        <v>26</v>
      </c>
      <c r="R80">
        <v>44221</v>
      </c>
      <c r="S80">
        <v>0.8</v>
      </c>
      <c r="T80" t="s">
        <v>18</v>
      </c>
      <c r="U80" t="s">
        <v>27</v>
      </c>
      <c r="V80">
        <v>3.4054794520547946</v>
      </c>
      <c r="W80" t="s">
        <v>28</v>
      </c>
    </row>
    <row r="81" spans="11:23" x14ac:dyDescent="0.25">
      <c r="K81" t="s">
        <v>183</v>
      </c>
      <c r="L81" t="s">
        <v>184</v>
      </c>
      <c r="M81" t="s">
        <v>185</v>
      </c>
      <c r="N81" t="s">
        <v>24</v>
      </c>
      <c r="O81" t="s">
        <v>16</v>
      </c>
      <c r="P81">
        <v>44403.77</v>
      </c>
      <c r="Q81" t="s">
        <v>65</v>
      </c>
      <c r="R81">
        <v>43416</v>
      </c>
      <c r="S81">
        <v>1</v>
      </c>
      <c r="T81" t="s">
        <v>18</v>
      </c>
      <c r="U81" t="s">
        <v>41</v>
      </c>
      <c r="V81">
        <v>5.6109589041095891</v>
      </c>
      <c r="W81" t="s">
        <v>20</v>
      </c>
    </row>
    <row r="82" spans="11:23" x14ac:dyDescent="0.25">
      <c r="K82" t="s">
        <v>351</v>
      </c>
      <c r="L82" t="s">
        <v>352</v>
      </c>
      <c r="M82" t="s">
        <v>353</v>
      </c>
      <c r="N82" t="s">
        <v>15</v>
      </c>
      <c r="O82" t="s">
        <v>101</v>
      </c>
      <c r="P82">
        <v>49915.14</v>
      </c>
      <c r="Q82" t="s">
        <v>65</v>
      </c>
      <c r="R82">
        <v>43550</v>
      </c>
      <c r="S82">
        <v>1</v>
      </c>
      <c r="T82" t="s">
        <v>18</v>
      </c>
      <c r="U82" t="s">
        <v>19</v>
      </c>
      <c r="V82">
        <v>5.2438356164383562</v>
      </c>
      <c r="W82" t="s">
        <v>20</v>
      </c>
    </row>
    <row r="83" spans="11:23" x14ac:dyDescent="0.25">
      <c r="K83" t="s">
        <v>147</v>
      </c>
      <c r="L83" t="s">
        <v>148</v>
      </c>
      <c r="M83" t="s">
        <v>149</v>
      </c>
      <c r="N83" t="s">
        <v>15</v>
      </c>
      <c r="O83" t="s">
        <v>131</v>
      </c>
      <c r="P83">
        <v>113616.23</v>
      </c>
      <c r="Q83" t="s">
        <v>17</v>
      </c>
      <c r="R83">
        <v>43255</v>
      </c>
      <c r="S83">
        <v>1</v>
      </c>
      <c r="T83" t="s">
        <v>18</v>
      </c>
      <c r="U83" t="s">
        <v>19</v>
      </c>
      <c r="V83">
        <v>6.0520547945205481</v>
      </c>
      <c r="W83" t="s">
        <v>20</v>
      </c>
    </row>
    <row r="84" spans="11:23" x14ac:dyDescent="0.25">
      <c r="K84" t="s">
        <v>192</v>
      </c>
      <c r="L84" t="s">
        <v>193</v>
      </c>
      <c r="M84" t="s">
        <v>194</v>
      </c>
      <c r="N84" t="s">
        <v>15</v>
      </c>
      <c r="O84" t="s">
        <v>105</v>
      </c>
      <c r="P84">
        <v>68860.399999999994</v>
      </c>
      <c r="Q84" t="s">
        <v>26</v>
      </c>
      <c r="R84">
        <v>43508</v>
      </c>
      <c r="S84">
        <v>0.4</v>
      </c>
      <c r="T84" t="s">
        <v>18</v>
      </c>
      <c r="U84" t="s">
        <v>72</v>
      </c>
      <c r="V84">
        <v>5.3589041095890408</v>
      </c>
      <c r="W84" t="s">
        <v>28</v>
      </c>
    </row>
    <row r="85" spans="11:23" x14ac:dyDescent="0.25">
      <c r="K85" t="s">
        <v>348</v>
      </c>
      <c r="L85" t="s">
        <v>349</v>
      </c>
      <c r="M85" t="s">
        <v>350</v>
      </c>
      <c r="N85" t="s">
        <v>15</v>
      </c>
      <c r="O85" t="s">
        <v>25</v>
      </c>
      <c r="P85">
        <v>71371.37</v>
      </c>
      <c r="Q85" t="s">
        <v>26</v>
      </c>
      <c r="R85">
        <v>43392</v>
      </c>
      <c r="S85">
        <v>1</v>
      </c>
      <c r="T85" t="s">
        <v>18</v>
      </c>
      <c r="U85" t="s">
        <v>41</v>
      </c>
      <c r="V85">
        <v>5.6767123287671231</v>
      </c>
      <c r="W85" t="s">
        <v>20</v>
      </c>
    </row>
    <row r="86" spans="11:23" x14ac:dyDescent="0.25">
      <c r="K86" t="s">
        <v>566</v>
      </c>
      <c r="L86" t="s">
        <v>567</v>
      </c>
      <c r="M86" t="s">
        <v>568</v>
      </c>
      <c r="N86" t="s">
        <v>24</v>
      </c>
      <c r="O86" t="s">
        <v>32</v>
      </c>
      <c r="P86">
        <v>32269.91</v>
      </c>
      <c r="Q86" t="s">
        <v>65</v>
      </c>
      <c r="R86">
        <v>43346</v>
      </c>
      <c r="S86">
        <v>1</v>
      </c>
      <c r="T86" t="s">
        <v>18</v>
      </c>
      <c r="U86" t="s">
        <v>19</v>
      </c>
      <c r="V86">
        <v>5.8027397260273972</v>
      </c>
      <c r="W86" t="s">
        <v>20</v>
      </c>
    </row>
    <row r="87" spans="11:23" x14ac:dyDescent="0.25">
      <c r="K87" t="s">
        <v>431</v>
      </c>
      <c r="L87" t="s">
        <v>432</v>
      </c>
      <c r="M87" t="s">
        <v>433</v>
      </c>
      <c r="N87" t="s">
        <v>15</v>
      </c>
      <c r="O87" t="s">
        <v>124</v>
      </c>
      <c r="P87">
        <v>31241.24</v>
      </c>
      <c r="Q87" t="s">
        <v>65</v>
      </c>
      <c r="R87">
        <v>43725</v>
      </c>
      <c r="S87">
        <v>1</v>
      </c>
      <c r="T87" t="s">
        <v>18</v>
      </c>
      <c r="U87" t="s">
        <v>19</v>
      </c>
      <c r="V87">
        <v>4.7643835616438359</v>
      </c>
      <c r="W87" t="s">
        <v>20</v>
      </c>
    </row>
    <row r="88" spans="11:23" x14ac:dyDescent="0.25">
      <c r="K88" t="s">
        <v>51</v>
      </c>
      <c r="L88" t="s">
        <v>52</v>
      </c>
      <c r="M88" t="s">
        <v>53</v>
      </c>
      <c r="N88" t="s">
        <v>24</v>
      </c>
      <c r="O88" t="s">
        <v>54</v>
      </c>
      <c r="P88">
        <v>66017.179999999993</v>
      </c>
      <c r="Q88" t="s">
        <v>26</v>
      </c>
      <c r="R88">
        <v>43643</v>
      </c>
      <c r="S88">
        <v>0.9</v>
      </c>
      <c r="T88" t="s">
        <v>18</v>
      </c>
      <c r="U88" t="s">
        <v>19</v>
      </c>
      <c r="V88">
        <v>4.9890410958904106</v>
      </c>
      <c r="W88" t="s">
        <v>28</v>
      </c>
    </row>
    <row r="89" spans="11:23" x14ac:dyDescent="0.25">
      <c r="K89" t="s">
        <v>410</v>
      </c>
      <c r="L89" t="s">
        <v>411</v>
      </c>
      <c r="M89" t="s">
        <v>412</v>
      </c>
      <c r="N89" t="s">
        <v>15</v>
      </c>
      <c r="O89" t="s">
        <v>124</v>
      </c>
      <c r="P89">
        <v>40445.29</v>
      </c>
      <c r="Q89" t="s">
        <v>65</v>
      </c>
      <c r="R89">
        <v>44393</v>
      </c>
      <c r="S89">
        <v>1</v>
      </c>
      <c r="T89" t="s">
        <v>18</v>
      </c>
      <c r="U89" t="s">
        <v>84</v>
      </c>
      <c r="V89">
        <v>2.9342465753424656</v>
      </c>
      <c r="W89" t="s">
        <v>20</v>
      </c>
    </row>
    <row r="90" spans="11:23" x14ac:dyDescent="0.25">
      <c r="K90" t="s">
        <v>410</v>
      </c>
      <c r="L90" t="s">
        <v>680</v>
      </c>
      <c r="M90" t="s">
        <v>681</v>
      </c>
      <c r="N90" t="s">
        <v>15</v>
      </c>
      <c r="O90" t="s">
        <v>124</v>
      </c>
      <c r="P90">
        <v>40445.29</v>
      </c>
      <c r="Q90" t="s">
        <v>65</v>
      </c>
      <c r="R90">
        <v>44393</v>
      </c>
      <c r="S90">
        <v>1</v>
      </c>
      <c r="T90" t="s">
        <v>18</v>
      </c>
      <c r="U90" t="s">
        <v>84</v>
      </c>
      <c r="V90">
        <v>2.9342465753424656</v>
      </c>
      <c r="W90" t="s">
        <v>20</v>
      </c>
    </row>
    <row r="91" spans="11:23" x14ac:dyDescent="0.25">
      <c r="K91" t="s">
        <v>654</v>
      </c>
      <c r="L91" t="s">
        <v>655</v>
      </c>
      <c r="M91" t="s">
        <v>656</v>
      </c>
      <c r="N91" t="s">
        <v>15</v>
      </c>
      <c r="O91" t="s">
        <v>97</v>
      </c>
      <c r="P91">
        <v>103494.94</v>
      </c>
      <c r="Q91" t="s">
        <v>17</v>
      </c>
      <c r="R91">
        <v>43256</v>
      </c>
      <c r="S91">
        <v>1</v>
      </c>
      <c r="T91" t="s">
        <v>18</v>
      </c>
      <c r="U91" t="s">
        <v>19</v>
      </c>
      <c r="V91">
        <v>6.0493150684931507</v>
      </c>
      <c r="W91" t="s">
        <v>20</v>
      </c>
    </row>
    <row r="92" spans="11:23" x14ac:dyDescent="0.25">
      <c r="K92" t="s">
        <v>654</v>
      </c>
      <c r="L92" t="s">
        <v>655</v>
      </c>
      <c r="M92" t="s">
        <v>656</v>
      </c>
      <c r="N92" t="s">
        <v>15</v>
      </c>
      <c r="O92" t="s">
        <v>97</v>
      </c>
      <c r="P92">
        <v>103494.94</v>
      </c>
      <c r="Q92" t="s">
        <v>17</v>
      </c>
      <c r="R92">
        <v>43256</v>
      </c>
      <c r="S92">
        <v>1</v>
      </c>
      <c r="T92" t="s">
        <v>18</v>
      </c>
      <c r="U92" t="s">
        <v>19</v>
      </c>
      <c r="V92">
        <v>6.0493150684931507</v>
      </c>
      <c r="W92" t="s">
        <v>20</v>
      </c>
    </row>
    <row r="93" spans="11:23" x14ac:dyDescent="0.25">
      <c r="K93" t="s">
        <v>557</v>
      </c>
      <c r="L93" t="s">
        <v>558</v>
      </c>
      <c r="M93" t="s">
        <v>559</v>
      </c>
      <c r="N93" t="s">
        <v>24</v>
      </c>
      <c r="O93" t="s">
        <v>16</v>
      </c>
      <c r="P93">
        <v>118442.54</v>
      </c>
      <c r="Q93" t="s">
        <v>17</v>
      </c>
      <c r="R93">
        <v>44193</v>
      </c>
      <c r="S93">
        <v>1</v>
      </c>
      <c r="T93" t="s">
        <v>18</v>
      </c>
      <c r="U93" t="s">
        <v>77</v>
      </c>
      <c r="V93">
        <v>3.4821917808219176</v>
      </c>
      <c r="W93" t="s">
        <v>20</v>
      </c>
    </row>
    <row r="94" spans="11:23" x14ac:dyDescent="0.25">
      <c r="K94" t="s">
        <v>333</v>
      </c>
      <c r="L94" t="s">
        <v>334</v>
      </c>
      <c r="M94" t="s">
        <v>335</v>
      </c>
      <c r="N94" t="s">
        <v>24</v>
      </c>
      <c r="O94" t="s">
        <v>101</v>
      </c>
      <c r="P94">
        <v>44845.33</v>
      </c>
      <c r="Q94" t="s">
        <v>65</v>
      </c>
      <c r="R94">
        <v>43277</v>
      </c>
      <c r="S94">
        <v>1</v>
      </c>
      <c r="T94" t="s">
        <v>18</v>
      </c>
      <c r="U94" t="s">
        <v>27</v>
      </c>
      <c r="V94">
        <v>5.9917808219178079</v>
      </c>
      <c r="W94" t="s">
        <v>20</v>
      </c>
    </row>
    <row r="95" spans="11:23" x14ac:dyDescent="0.25">
      <c r="K95" t="s">
        <v>204</v>
      </c>
      <c r="L95" t="s">
        <v>205</v>
      </c>
      <c r="M95" t="s">
        <v>206</v>
      </c>
      <c r="N95" t="s">
        <v>15</v>
      </c>
      <c r="O95" t="s">
        <v>58</v>
      </c>
      <c r="P95">
        <v>85455.53</v>
      </c>
      <c r="Q95" t="s">
        <v>26</v>
      </c>
      <c r="R95">
        <v>43839</v>
      </c>
      <c r="S95">
        <v>1</v>
      </c>
      <c r="T95" t="s">
        <v>18</v>
      </c>
      <c r="U95" t="s">
        <v>45</v>
      </c>
      <c r="V95">
        <v>4.4520547945205475</v>
      </c>
      <c r="W95" t="s">
        <v>20</v>
      </c>
    </row>
    <row r="96" spans="11:23" x14ac:dyDescent="0.25">
      <c r="K96" t="s">
        <v>648</v>
      </c>
      <c r="L96" t="s">
        <v>649</v>
      </c>
      <c r="M96" t="s">
        <v>650</v>
      </c>
      <c r="N96" t="s">
        <v>15</v>
      </c>
      <c r="O96" t="s">
        <v>97</v>
      </c>
      <c r="P96">
        <v>69862.38</v>
      </c>
      <c r="Q96" t="s">
        <v>26</v>
      </c>
      <c r="R96">
        <v>43458</v>
      </c>
      <c r="S96">
        <v>1</v>
      </c>
      <c r="T96" t="s">
        <v>18</v>
      </c>
      <c r="U96" t="s">
        <v>45</v>
      </c>
      <c r="V96">
        <v>5.4958904109589044</v>
      </c>
      <c r="W96" t="s">
        <v>20</v>
      </c>
    </row>
    <row r="97" spans="11:23" x14ac:dyDescent="0.25">
      <c r="K97" t="s">
        <v>513</v>
      </c>
      <c r="L97" t="s">
        <v>514</v>
      </c>
      <c r="M97" t="s">
        <v>515</v>
      </c>
      <c r="N97" t="s">
        <v>15</v>
      </c>
      <c r="O97" t="s">
        <v>101</v>
      </c>
      <c r="P97">
        <v>52270.22</v>
      </c>
      <c r="Q97" t="s">
        <v>26</v>
      </c>
      <c r="R97">
        <v>43521</v>
      </c>
      <c r="S97">
        <v>0.3</v>
      </c>
      <c r="T97" t="s">
        <v>18</v>
      </c>
      <c r="U97" t="s">
        <v>84</v>
      </c>
      <c r="V97">
        <v>5.3232876712328769</v>
      </c>
      <c r="W97" t="s">
        <v>28</v>
      </c>
    </row>
    <row r="98" spans="11:23" x14ac:dyDescent="0.25">
      <c r="K98" t="s">
        <v>633</v>
      </c>
      <c r="L98" t="s">
        <v>634</v>
      </c>
      <c r="M98" t="s">
        <v>635</v>
      </c>
      <c r="N98" t="s">
        <v>24</v>
      </c>
      <c r="O98" t="s">
        <v>36</v>
      </c>
      <c r="P98">
        <v>99965.97</v>
      </c>
      <c r="Q98" t="s">
        <v>26</v>
      </c>
      <c r="R98">
        <v>43133</v>
      </c>
      <c r="S98">
        <v>1</v>
      </c>
      <c r="T98" t="s">
        <v>18</v>
      </c>
      <c r="U98" t="s">
        <v>19</v>
      </c>
      <c r="V98">
        <v>6.3863013698630136</v>
      </c>
      <c r="W98" t="s">
        <v>20</v>
      </c>
    </row>
    <row r="99" spans="11:23" x14ac:dyDescent="0.25">
      <c r="K99" t="s">
        <v>213</v>
      </c>
      <c r="L99" t="s">
        <v>214</v>
      </c>
      <c r="M99" t="s">
        <v>215</v>
      </c>
      <c r="N99" t="s">
        <v>15</v>
      </c>
      <c r="O99" t="s">
        <v>16</v>
      </c>
      <c r="P99">
        <v>50855.53</v>
      </c>
      <c r="Q99" t="s">
        <v>26</v>
      </c>
      <c r="R99">
        <v>44221</v>
      </c>
      <c r="S99">
        <v>1</v>
      </c>
      <c r="T99" t="s">
        <v>18</v>
      </c>
      <c r="U99" t="s">
        <v>45</v>
      </c>
      <c r="V99">
        <v>3.4054794520547946</v>
      </c>
      <c r="W99" t="s">
        <v>20</v>
      </c>
    </row>
    <row r="100" spans="11:23" x14ac:dyDescent="0.25">
      <c r="K100" t="s">
        <v>132</v>
      </c>
      <c r="L100" t="s">
        <v>133</v>
      </c>
      <c r="M100" t="s">
        <v>134</v>
      </c>
      <c r="N100" t="s">
        <v>15</v>
      </c>
      <c r="O100" t="s">
        <v>25</v>
      </c>
      <c r="P100">
        <v>90884.32</v>
      </c>
      <c r="Q100" t="s">
        <v>26</v>
      </c>
      <c r="R100">
        <v>43826</v>
      </c>
      <c r="S100">
        <v>1</v>
      </c>
      <c r="T100" t="s">
        <v>18</v>
      </c>
      <c r="U100" t="s">
        <v>72</v>
      </c>
      <c r="V100">
        <v>4.4876712328767123</v>
      </c>
      <c r="W100" t="s">
        <v>20</v>
      </c>
    </row>
    <row r="101" spans="11:23" x14ac:dyDescent="0.25">
      <c r="K101" t="s">
        <v>132</v>
      </c>
      <c r="L101" t="s">
        <v>133</v>
      </c>
      <c r="M101" t="s">
        <v>134</v>
      </c>
      <c r="N101" t="s">
        <v>15</v>
      </c>
      <c r="O101" t="s">
        <v>25</v>
      </c>
      <c r="P101">
        <v>90884.32</v>
      </c>
      <c r="Q101" t="s">
        <v>26</v>
      </c>
      <c r="R101">
        <v>43826</v>
      </c>
      <c r="S101">
        <v>1</v>
      </c>
      <c r="T101" t="s">
        <v>18</v>
      </c>
      <c r="U101" t="s">
        <v>72</v>
      </c>
      <c r="V101">
        <v>4.4876712328767123</v>
      </c>
      <c r="W101" t="s">
        <v>20</v>
      </c>
    </row>
    <row r="102" spans="11:23" x14ac:dyDescent="0.25">
      <c r="K102" t="s">
        <v>685</v>
      </c>
      <c r="L102" t="s">
        <v>686</v>
      </c>
      <c r="M102" t="s">
        <v>687</v>
      </c>
      <c r="N102" t="s">
        <v>24</v>
      </c>
      <c r="O102" t="s">
        <v>36</v>
      </c>
      <c r="P102">
        <v>56253.81</v>
      </c>
      <c r="Q102" t="s">
        <v>26</v>
      </c>
      <c r="R102">
        <v>44421</v>
      </c>
      <c r="S102">
        <v>1</v>
      </c>
      <c r="T102" t="s">
        <v>18</v>
      </c>
      <c r="U102" t="s">
        <v>77</v>
      </c>
      <c r="V102">
        <v>2.8575342465753426</v>
      </c>
      <c r="W102" t="s">
        <v>20</v>
      </c>
    </row>
    <row r="103" spans="11:23" x14ac:dyDescent="0.25">
      <c r="K103" t="s">
        <v>688</v>
      </c>
      <c r="L103" t="s">
        <v>689</v>
      </c>
      <c r="M103" t="s">
        <v>690</v>
      </c>
      <c r="N103" t="s">
        <v>24</v>
      </c>
      <c r="O103" t="s">
        <v>124</v>
      </c>
      <c r="P103">
        <v>51798.25</v>
      </c>
      <c r="Q103" t="s">
        <v>26</v>
      </c>
      <c r="R103">
        <v>43665</v>
      </c>
      <c r="S103">
        <v>1</v>
      </c>
      <c r="T103" t="s">
        <v>18</v>
      </c>
      <c r="U103" t="s">
        <v>41</v>
      </c>
      <c r="V103">
        <v>4.9287671232876713</v>
      </c>
      <c r="W103" t="s">
        <v>20</v>
      </c>
    </row>
    <row r="104" spans="11:23" x14ac:dyDescent="0.25">
      <c r="K104" t="s">
        <v>682</v>
      </c>
      <c r="L104" t="s">
        <v>683</v>
      </c>
      <c r="M104" t="s">
        <v>684</v>
      </c>
      <c r="N104" t="s">
        <v>24</v>
      </c>
      <c r="O104" t="s">
        <v>16</v>
      </c>
      <c r="P104">
        <v>114772.32</v>
      </c>
      <c r="Q104" t="s">
        <v>17</v>
      </c>
      <c r="R104">
        <v>44251</v>
      </c>
      <c r="S104">
        <v>1</v>
      </c>
      <c r="T104" t="s">
        <v>18</v>
      </c>
      <c r="U104" t="s">
        <v>72</v>
      </c>
      <c r="V104">
        <v>3.3232876712328765</v>
      </c>
      <c r="W104" t="s">
        <v>20</v>
      </c>
    </row>
    <row r="105" spans="11:23" x14ac:dyDescent="0.25">
      <c r="K105" t="s">
        <v>451</v>
      </c>
      <c r="L105" t="s">
        <v>452</v>
      </c>
      <c r="M105" t="s">
        <v>453</v>
      </c>
      <c r="N105" t="s">
        <v>15</v>
      </c>
      <c r="O105" t="s">
        <v>54</v>
      </c>
      <c r="P105">
        <v>89605.13</v>
      </c>
      <c r="Q105" t="s">
        <v>26</v>
      </c>
      <c r="R105">
        <v>43258</v>
      </c>
      <c r="S105">
        <v>1</v>
      </c>
      <c r="T105" t="s">
        <v>18</v>
      </c>
      <c r="U105" t="s">
        <v>27</v>
      </c>
      <c r="V105">
        <v>6.043835616438356</v>
      </c>
      <c r="W105" t="s">
        <v>20</v>
      </c>
    </row>
    <row r="106" spans="11:23" x14ac:dyDescent="0.25">
      <c r="K106" t="s">
        <v>487</v>
      </c>
      <c r="L106" t="s">
        <v>488</v>
      </c>
      <c r="M106" t="s">
        <v>489</v>
      </c>
      <c r="N106" t="s">
        <v>24</v>
      </c>
      <c r="O106" t="s">
        <v>16</v>
      </c>
      <c r="P106">
        <v>88425.08</v>
      </c>
      <c r="Q106" t="s">
        <v>26</v>
      </c>
      <c r="R106">
        <v>43662</v>
      </c>
      <c r="S106">
        <v>1</v>
      </c>
      <c r="T106" t="s">
        <v>18</v>
      </c>
      <c r="U106" t="s">
        <v>41</v>
      </c>
      <c r="V106">
        <v>4.9369863013698634</v>
      </c>
      <c r="W106" t="s">
        <v>20</v>
      </c>
    </row>
    <row r="107" spans="11:23" x14ac:dyDescent="0.25">
      <c r="K107" t="s">
        <v>519</v>
      </c>
      <c r="L107" t="s">
        <v>520</v>
      </c>
      <c r="M107" t="s">
        <v>521</v>
      </c>
      <c r="N107" t="s">
        <v>24</v>
      </c>
      <c r="O107" t="s">
        <v>54</v>
      </c>
      <c r="P107">
        <v>104903.79</v>
      </c>
      <c r="Q107" t="s">
        <v>17</v>
      </c>
      <c r="R107">
        <v>43649</v>
      </c>
      <c r="S107">
        <v>1</v>
      </c>
      <c r="T107" t="s">
        <v>18</v>
      </c>
      <c r="U107" t="s">
        <v>84</v>
      </c>
      <c r="V107">
        <v>4.9726027397260273</v>
      </c>
      <c r="W107" t="s">
        <v>20</v>
      </c>
    </row>
    <row r="108" spans="11:23" x14ac:dyDescent="0.25">
      <c r="K108" t="s">
        <v>234</v>
      </c>
      <c r="L108" t="s">
        <v>235</v>
      </c>
      <c r="M108" t="s">
        <v>236</v>
      </c>
      <c r="N108" t="s">
        <v>24</v>
      </c>
      <c r="O108" t="s">
        <v>32</v>
      </c>
      <c r="P108">
        <v>69057.320000000007</v>
      </c>
      <c r="Q108" t="s">
        <v>26</v>
      </c>
      <c r="R108">
        <v>43390</v>
      </c>
      <c r="S108">
        <v>1</v>
      </c>
      <c r="T108" t="s">
        <v>18</v>
      </c>
      <c r="U108" t="s">
        <v>45</v>
      </c>
      <c r="V108">
        <v>5.6821917808219178</v>
      </c>
      <c r="W108" t="s">
        <v>20</v>
      </c>
    </row>
    <row r="109" spans="11:23" x14ac:dyDescent="0.25">
      <c r="K109" t="s">
        <v>234</v>
      </c>
      <c r="L109" t="s">
        <v>235</v>
      </c>
      <c r="M109" t="s">
        <v>236</v>
      </c>
      <c r="N109" t="s">
        <v>24</v>
      </c>
      <c r="O109" t="s">
        <v>32</v>
      </c>
      <c r="P109">
        <v>69057.320000000007</v>
      </c>
      <c r="Q109" t="s">
        <v>26</v>
      </c>
      <c r="R109">
        <v>43390</v>
      </c>
      <c r="S109">
        <v>1</v>
      </c>
      <c r="T109" t="s">
        <v>18</v>
      </c>
      <c r="U109" t="s">
        <v>45</v>
      </c>
      <c r="V109">
        <v>5.6821917808219178</v>
      </c>
      <c r="W109" t="s">
        <v>20</v>
      </c>
    </row>
    <row r="110" spans="11:23" x14ac:dyDescent="0.25">
      <c r="K110" t="s">
        <v>669</v>
      </c>
      <c r="L110" t="s">
        <v>670</v>
      </c>
      <c r="M110" t="s">
        <v>671</v>
      </c>
      <c r="N110" t="s">
        <v>15</v>
      </c>
      <c r="O110" t="s">
        <v>124</v>
      </c>
      <c r="P110">
        <v>77743.149999999994</v>
      </c>
      <c r="Q110" t="s">
        <v>26</v>
      </c>
      <c r="R110">
        <v>43920</v>
      </c>
      <c r="S110">
        <v>1</v>
      </c>
      <c r="T110" t="s">
        <v>18</v>
      </c>
      <c r="U110" t="s">
        <v>84</v>
      </c>
      <c r="V110">
        <v>4.2301369863013702</v>
      </c>
      <c r="W110" t="s">
        <v>20</v>
      </c>
    </row>
    <row r="111" spans="11:23" x14ac:dyDescent="0.25">
      <c r="K111" t="s">
        <v>448</v>
      </c>
      <c r="L111" t="s">
        <v>449</v>
      </c>
      <c r="M111" t="s">
        <v>450</v>
      </c>
      <c r="N111" t="s">
        <v>15</v>
      </c>
      <c r="O111" t="s">
        <v>16</v>
      </c>
      <c r="P111">
        <v>108872.77</v>
      </c>
      <c r="Q111" t="s">
        <v>17</v>
      </c>
      <c r="R111">
        <v>43521</v>
      </c>
      <c r="S111">
        <v>1</v>
      </c>
      <c r="T111" t="s">
        <v>18</v>
      </c>
      <c r="U111" t="s">
        <v>19</v>
      </c>
      <c r="V111">
        <v>5.3232876712328769</v>
      </c>
      <c r="W111" t="s">
        <v>20</v>
      </c>
    </row>
    <row r="112" spans="11:23" x14ac:dyDescent="0.25">
      <c r="K112" t="s">
        <v>360</v>
      </c>
      <c r="L112" t="s">
        <v>361</v>
      </c>
      <c r="M112" t="s">
        <v>362</v>
      </c>
      <c r="N112" t="s">
        <v>24</v>
      </c>
      <c r="O112" t="s">
        <v>101</v>
      </c>
      <c r="P112">
        <v>68887.839999999997</v>
      </c>
      <c r="Q112" t="s">
        <v>26</v>
      </c>
      <c r="R112">
        <v>43297</v>
      </c>
      <c r="S112">
        <v>1</v>
      </c>
      <c r="T112" t="s">
        <v>18</v>
      </c>
      <c r="U112" t="s">
        <v>19</v>
      </c>
      <c r="V112">
        <v>5.9369863013698634</v>
      </c>
      <c r="W112" t="s">
        <v>20</v>
      </c>
    </row>
    <row r="113" spans="11:23" x14ac:dyDescent="0.25">
      <c r="K113" t="s">
        <v>240</v>
      </c>
      <c r="L113" t="s">
        <v>241</v>
      </c>
      <c r="M113" t="s">
        <v>242</v>
      </c>
      <c r="N113" t="s">
        <v>24</v>
      </c>
      <c r="O113" t="s">
        <v>124</v>
      </c>
      <c r="P113">
        <v>66865.490000000005</v>
      </c>
      <c r="Q113" t="s">
        <v>26</v>
      </c>
      <c r="R113">
        <v>43514</v>
      </c>
      <c r="S113">
        <v>1</v>
      </c>
      <c r="T113" t="s">
        <v>18</v>
      </c>
      <c r="U113" t="s">
        <v>27</v>
      </c>
      <c r="V113">
        <v>5.3424657534246576</v>
      </c>
      <c r="W113" t="s">
        <v>20</v>
      </c>
    </row>
    <row r="114" spans="11:23" x14ac:dyDescent="0.25">
      <c r="K114" t="s">
        <v>240</v>
      </c>
      <c r="L114" t="s">
        <v>241</v>
      </c>
      <c r="M114" t="s">
        <v>242</v>
      </c>
      <c r="N114" t="s">
        <v>24</v>
      </c>
      <c r="O114" t="s">
        <v>124</v>
      </c>
      <c r="P114">
        <v>66865.490000000005</v>
      </c>
      <c r="Q114" t="s">
        <v>26</v>
      </c>
      <c r="R114">
        <v>43514</v>
      </c>
      <c r="S114">
        <v>1</v>
      </c>
      <c r="T114" t="s">
        <v>18</v>
      </c>
      <c r="U114" t="s">
        <v>27</v>
      </c>
      <c r="V114">
        <v>5.3424657534246576</v>
      </c>
      <c r="W114" t="s">
        <v>20</v>
      </c>
    </row>
    <row r="115" spans="11:23" x14ac:dyDescent="0.25">
      <c r="K115" t="s">
        <v>507</v>
      </c>
      <c r="L115" t="s">
        <v>508</v>
      </c>
      <c r="M115" t="s">
        <v>509</v>
      </c>
      <c r="N115" t="s">
        <v>24</v>
      </c>
      <c r="O115" t="s">
        <v>97</v>
      </c>
      <c r="P115">
        <v>100731.95</v>
      </c>
      <c r="Q115" t="s">
        <v>17</v>
      </c>
      <c r="R115">
        <v>43936</v>
      </c>
      <c r="S115">
        <v>1</v>
      </c>
      <c r="T115" t="s">
        <v>18</v>
      </c>
      <c r="U115" t="s">
        <v>77</v>
      </c>
      <c r="V115">
        <v>4.1863013698630134</v>
      </c>
      <c r="W115" t="s">
        <v>20</v>
      </c>
    </row>
    <row r="116" spans="11:23" x14ac:dyDescent="0.25">
      <c r="K116" t="s">
        <v>279</v>
      </c>
      <c r="L116" t="s">
        <v>280</v>
      </c>
      <c r="M116" t="s">
        <v>281</v>
      </c>
      <c r="N116" t="s">
        <v>49</v>
      </c>
      <c r="O116" t="s">
        <v>101</v>
      </c>
      <c r="P116">
        <v>107107.6</v>
      </c>
      <c r="Q116" t="s">
        <v>17</v>
      </c>
      <c r="R116">
        <v>43325</v>
      </c>
      <c r="S116">
        <v>0.9</v>
      </c>
      <c r="T116" t="s">
        <v>18</v>
      </c>
      <c r="U116" t="s">
        <v>84</v>
      </c>
      <c r="V116">
        <v>5.86027397260274</v>
      </c>
      <c r="W116" t="s">
        <v>28</v>
      </c>
    </row>
    <row r="117" spans="11:23" x14ac:dyDescent="0.25">
      <c r="K117" t="s">
        <v>630</v>
      </c>
      <c r="L117" t="s">
        <v>631</v>
      </c>
      <c r="M117" t="s">
        <v>632</v>
      </c>
      <c r="N117" t="s">
        <v>24</v>
      </c>
      <c r="O117" t="s">
        <v>105</v>
      </c>
      <c r="P117">
        <v>102129.37</v>
      </c>
      <c r="Q117" t="s">
        <v>17</v>
      </c>
      <c r="R117">
        <v>44396</v>
      </c>
      <c r="S117">
        <v>1</v>
      </c>
      <c r="T117" t="s">
        <v>18</v>
      </c>
      <c r="U117" t="s">
        <v>72</v>
      </c>
      <c r="V117">
        <v>2.9260273972602739</v>
      </c>
      <c r="W117" t="s">
        <v>20</v>
      </c>
    </row>
    <row r="118" spans="11:23" x14ac:dyDescent="0.25">
      <c r="K118" t="s">
        <v>312</v>
      </c>
      <c r="L118" t="s">
        <v>313</v>
      </c>
      <c r="M118" t="s">
        <v>314</v>
      </c>
      <c r="N118" t="s">
        <v>24</v>
      </c>
      <c r="O118" t="s">
        <v>131</v>
      </c>
      <c r="P118">
        <v>75733.740000000005</v>
      </c>
      <c r="Q118" t="s">
        <v>26</v>
      </c>
      <c r="R118">
        <v>44382</v>
      </c>
      <c r="S118">
        <v>1</v>
      </c>
      <c r="T118" t="s">
        <v>18</v>
      </c>
      <c r="U118" t="s">
        <v>41</v>
      </c>
      <c r="V118">
        <v>2.9643835616438357</v>
      </c>
      <c r="W118" t="s">
        <v>20</v>
      </c>
    </row>
    <row r="119" spans="11:23" x14ac:dyDescent="0.25">
      <c r="K119" t="s">
        <v>735</v>
      </c>
      <c r="L119" t="s">
        <v>736</v>
      </c>
      <c r="M119" t="s">
        <v>737</v>
      </c>
      <c r="N119" t="s">
        <v>24</v>
      </c>
      <c r="O119" t="s">
        <v>105</v>
      </c>
      <c r="P119">
        <v>78020.39</v>
      </c>
      <c r="Q119" t="s">
        <v>26</v>
      </c>
      <c r="R119">
        <v>43899</v>
      </c>
      <c r="S119">
        <v>1</v>
      </c>
      <c r="T119" t="s">
        <v>18</v>
      </c>
      <c r="U119" t="s">
        <v>19</v>
      </c>
      <c r="V119">
        <v>4.2876712328767121</v>
      </c>
      <c r="W119" t="s">
        <v>20</v>
      </c>
    </row>
    <row r="120" spans="11:23" x14ac:dyDescent="0.25">
      <c r="K120" t="s">
        <v>395</v>
      </c>
      <c r="L120" t="s">
        <v>396</v>
      </c>
      <c r="M120" t="s">
        <v>397</v>
      </c>
      <c r="N120" t="s">
        <v>24</v>
      </c>
      <c r="O120" t="s">
        <v>36</v>
      </c>
      <c r="P120">
        <v>95677.9</v>
      </c>
      <c r="Q120" t="s">
        <v>26</v>
      </c>
      <c r="R120">
        <v>44396</v>
      </c>
      <c r="S120">
        <v>0.3</v>
      </c>
      <c r="T120" t="s">
        <v>18</v>
      </c>
      <c r="U120" t="s">
        <v>84</v>
      </c>
      <c r="V120">
        <v>2.9260273972602739</v>
      </c>
      <c r="W120" t="s">
        <v>28</v>
      </c>
    </row>
    <row r="121" spans="11:23" x14ac:dyDescent="0.25">
      <c r="K121" t="s">
        <v>525</v>
      </c>
      <c r="L121" t="s">
        <v>526</v>
      </c>
      <c r="M121" t="s">
        <v>527</v>
      </c>
      <c r="N121" t="s">
        <v>15</v>
      </c>
      <c r="O121" t="s">
        <v>16</v>
      </c>
      <c r="P121">
        <v>109143.17</v>
      </c>
      <c r="Q121" t="s">
        <v>17</v>
      </c>
      <c r="R121">
        <v>43945</v>
      </c>
      <c r="S121">
        <v>1</v>
      </c>
      <c r="T121" t="s">
        <v>18</v>
      </c>
      <c r="U121" t="s">
        <v>45</v>
      </c>
      <c r="V121">
        <v>4.161643835616438</v>
      </c>
      <c r="W121" t="s">
        <v>20</v>
      </c>
    </row>
    <row r="122" spans="11:23" x14ac:dyDescent="0.25">
      <c r="K122" t="s">
        <v>593</v>
      </c>
      <c r="L122" t="s">
        <v>594</v>
      </c>
      <c r="M122" t="s">
        <v>595</v>
      </c>
      <c r="N122" t="s">
        <v>24</v>
      </c>
      <c r="O122" t="s">
        <v>32</v>
      </c>
      <c r="P122">
        <v>28305.08</v>
      </c>
      <c r="Q122" t="s">
        <v>65</v>
      </c>
      <c r="R122">
        <v>43754</v>
      </c>
      <c r="S122">
        <v>1</v>
      </c>
      <c r="T122" t="s">
        <v>18</v>
      </c>
      <c r="U122" t="s">
        <v>19</v>
      </c>
      <c r="V122">
        <v>4.6849315068493151</v>
      </c>
      <c r="W122" t="s">
        <v>20</v>
      </c>
    </row>
    <row r="123" spans="11:23" x14ac:dyDescent="0.25">
      <c r="K123" t="s">
        <v>324</v>
      </c>
      <c r="L123" t="s">
        <v>325</v>
      </c>
      <c r="M123" t="s">
        <v>326</v>
      </c>
      <c r="N123" t="s">
        <v>15</v>
      </c>
      <c r="O123" t="s">
        <v>54</v>
      </c>
      <c r="P123">
        <v>76932.600000000006</v>
      </c>
      <c r="Q123" t="s">
        <v>26</v>
      </c>
      <c r="R123">
        <v>43493</v>
      </c>
      <c r="S123">
        <v>1</v>
      </c>
      <c r="T123" t="s">
        <v>18</v>
      </c>
      <c r="U123" t="s">
        <v>41</v>
      </c>
      <c r="V123">
        <v>5.4</v>
      </c>
      <c r="W123" t="s">
        <v>20</v>
      </c>
    </row>
    <row r="124" spans="11:23" x14ac:dyDescent="0.25">
      <c r="K124" t="s">
        <v>88</v>
      </c>
      <c r="L124" t="s">
        <v>89</v>
      </c>
      <c r="M124" t="s">
        <v>90</v>
      </c>
      <c r="N124" t="s">
        <v>15</v>
      </c>
      <c r="O124" t="s">
        <v>32</v>
      </c>
      <c r="P124">
        <v>69913.39</v>
      </c>
      <c r="Q124" t="s">
        <v>26</v>
      </c>
      <c r="R124">
        <v>43584</v>
      </c>
      <c r="S124">
        <v>1</v>
      </c>
      <c r="T124" t="s">
        <v>18</v>
      </c>
      <c r="U124" t="s">
        <v>19</v>
      </c>
      <c r="V124">
        <v>5.1506849315068495</v>
      </c>
      <c r="W124" t="s">
        <v>20</v>
      </c>
    </row>
    <row r="125" spans="11:23" x14ac:dyDescent="0.25">
      <c r="K125" t="s">
        <v>368</v>
      </c>
      <c r="L125" t="s">
        <v>369</v>
      </c>
      <c r="M125" t="s">
        <v>370</v>
      </c>
      <c r="N125" t="s">
        <v>15</v>
      </c>
      <c r="O125" t="s">
        <v>124</v>
      </c>
      <c r="P125">
        <v>111229.47</v>
      </c>
      <c r="Q125" t="s">
        <v>17</v>
      </c>
      <c r="R125">
        <v>43402</v>
      </c>
      <c r="S125">
        <v>1</v>
      </c>
      <c r="T125" t="s">
        <v>18</v>
      </c>
      <c r="U125" t="s">
        <v>19</v>
      </c>
      <c r="V125">
        <v>5.6493150684931503</v>
      </c>
      <c r="W125" t="s">
        <v>20</v>
      </c>
    </row>
    <row r="126" spans="11:23" x14ac:dyDescent="0.25">
      <c r="K126" t="s">
        <v>29</v>
      </c>
      <c r="L126" t="s">
        <v>30</v>
      </c>
      <c r="M126" t="s">
        <v>31</v>
      </c>
      <c r="N126" t="s">
        <v>24</v>
      </c>
      <c r="O126" t="s">
        <v>32</v>
      </c>
      <c r="P126">
        <v>120000</v>
      </c>
      <c r="Q126" t="s">
        <v>17</v>
      </c>
      <c r="R126">
        <v>43902</v>
      </c>
      <c r="S126">
        <v>0.9</v>
      </c>
      <c r="T126" t="s">
        <v>18</v>
      </c>
      <c r="U126" t="s">
        <v>19</v>
      </c>
      <c r="V126">
        <v>4.279452054794521</v>
      </c>
      <c r="W126" t="s">
        <v>28</v>
      </c>
    </row>
    <row r="127" spans="11:23" x14ac:dyDescent="0.25">
      <c r="K127" t="s">
        <v>704</v>
      </c>
      <c r="L127" t="s">
        <v>705</v>
      </c>
      <c r="M127" t="s">
        <v>706</v>
      </c>
      <c r="N127" t="s">
        <v>24</v>
      </c>
      <c r="O127" t="s">
        <v>97</v>
      </c>
      <c r="P127">
        <v>85264.38</v>
      </c>
      <c r="Q127" t="s">
        <v>26</v>
      </c>
      <c r="R127">
        <v>43220</v>
      </c>
      <c r="S127">
        <v>1</v>
      </c>
      <c r="T127" t="s">
        <v>18</v>
      </c>
      <c r="U127" t="s">
        <v>84</v>
      </c>
      <c r="V127">
        <v>6.1479452054794521</v>
      </c>
      <c r="W127" t="s">
        <v>20</v>
      </c>
    </row>
    <row r="128" spans="11:23" x14ac:dyDescent="0.25">
      <c r="K128" t="s">
        <v>460</v>
      </c>
      <c r="L128" t="s">
        <v>461</v>
      </c>
      <c r="M128" t="s">
        <v>462</v>
      </c>
      <c r="N128" t="s">
        <v>15</v>
      </c>
      <c r="O128" t="s">
        <v>32</v>
      </c>
      <c r="P128">
        <v>100424.23</v>
      </c>
      <c r="Q128" t="s">
        <v>17</v>
      </c>
      <c r="R128">
        <v>43801</v>
      </c>
      <c r="S128">
        <v>1</v>
      </c>
      <c r="T128" t="s">
        <v>18</v>
      </c>
      <c r="U128" t="s">
        <v>77</v>
      </c>
      <c r="V128">
        <v>4.5561643835616437</v>
      </c>
      <c r="W128" t="s">
        <v>20</v>
      </c>
    </row>
    <row r="129" spans="11:23" x14ac:dyDescent="0.25">
      <c r="K129" t="s">
        <v>428</v>
      </c>
      <c r="L129" t="s">
        <v>429</v>
      </c>
      <c r="M129" t="s">
        <v>430</v>
      </c>
      <c r="N129" t="s">
        <v>24</v>
      </c>
      <c r="O129" t="s">
        <v>50</v>
      </c>
      <c r="P129">
        <v>71924.850000000006</v>
      </c>
      <c r="Q129" t="s">
        <v>26</v>
      </c>
      <c r="R129">
        <v>43822</v>
      </c>
      <c r="S129">
        <v>1</v>
      </c>
      <c r="T129" t="s">
        <v>18</v>
      </c>
      <c r="U129" t="s">
        <v>84</v>
      </c>
      <c r="V129">
        <v>4.4986301369863018</v>
      </c>
      <c r="W129" t="s">
        <v>20</v>
      </c>
    </row>
    <row r="130" spans="11:23" x14ac:dyDescent="0.25">
      <c r="K130" t="s">
        <v>484</v>
      </c>
      <c r="L130" t="s">
        <v>485</v>
      </c>
      <c r="M130" t="s">
        <v>486</v>
      </c>
      <c r="N130" t="s">
        <v>24</v>
      </c>
      <c r="O130" t="s">
        <v>25</v>
      </c>
      <c r="P130">
        <v>61688.77</v>
      </c>
      <c r="Q130" t="s">
        <v>26</v>
      </c>
      <c r="R130">
        <v>43346</v>
      </c>
      <c r="S130">
        <v>0.9</v>
      </c>
      <c r="T130" t="s">
        <v>18</v>
      </c>
      <c r="U130" t="s">
        <v>84</v>
      </c>
      <c r="V130">
        <v>5.8027397260273972</v>
      </c>
      <c r="W130" t="s">
        <v>28</v>
      </c>
    </row>
    <row r="131" spans="11:23" x14ac:dyDescent="0.25">
      <c r="K131" t="s">
        <v>285</v>
      </c>
      <c r="L131" t="s">
        <v>286</v>
      </c>
      <c r="M131" t="s">
        <v>287</v>
      </c>
      <c r="N131" t="s">
        <v>24</v>
      </c>
      <c r="O131" t="s">
        <v>124</v>
      </c>
      <c r="P131">
        <v>75475.929999999993</v>
      </c>
      <c r="Q131" t="s">
        <v>26</v>
      </c>
      <c r="R131">
        <v>43794</v>
      </c>
      <c r="S131">
        <v>1</v>
      </c>
      <c r="T131" t="s">
        <v>18</v>
      </c>
      <c r="U131" t="s">
        <v>19</v>
      </c>
      <c r="V131">
        <v>4.5753424657534243</v>
      </c>
      <c r="W131" t="s">
        <v>20</v>
      </c>
    </row>
    <row r="132" spans="11:23" x14ac:dyDescent="0.25">
      <c r="K132" t="s">
        <v>81</v>
      </c>
      <c r="L132" t="s">
        <v>82</v>
      </c>
      <c r="M132" t="s">
        <v>83</v>
      </c>
      <c r="N132" t="s">
        <v>24</v>
      </c>
      <c r="O132" t="s">
        <v>36</v>
      </c>
      <c r="P132">
        <v>37902.35</v>
      </c>
      <c r="Q132" t="s">
        <v>65</v>
      </c>
      <c r="R132">
        <v>43823</v>
      </c>
      <c r="S132">
        <v>1</v>
      </c>
      <c r="T132" t="s">
        <v>18</v>
      </c>
      <c r="U132" t="s">
        <v>84</v>
      </c>
      <c r="V132">
        <v>4.4958904109589044</v>
      </c>
      <c r="W132" t="s">
        <v>20</v>
      </c>
    </row>
    <row r="133" spans="11:23" x14ac:dyDescent="0.25">
      <c r="K133" t="s">
        <v>81</v>
      </c>
      <c r="L133" t="s">
        <v>437</v>
      </c>
      <c r="M133" t="s">
        <v>438</v>
      </c>
      <c r="N133" t="s">
        <v>24</v>
      </c>
      <c r="O133" t="s">
        <v>36</v>
      </c>
      <c r="P133">
        <v>37902.35</v>
      </c>
      <c r="Q133" t="s">
        <v>65</v>
      </c>
      <c r="R133">
        <v>43823</v>
      </c>
      <c r="S133">
        <v>1</v>
      </c>
      <c r="T133" t="s">
        <v>18</v>
      </c>
      <c r="U133" t="s">
        <v>84</v>
      </c>
      <c r="V133">
        <v>4.4958904109589044</v>
      </c>
      <c r="W133" t="s">
        <v>20</v>
      </c>
    </row>
    <row r="134" spans="11:23" x14ac:dyDescent="0.25">
      <c r="K134" t="s">
        <v>174</v>
      </c>
      <c r="L134" t="s">
        <v>175</v>
      </c>
      <c r="M134" t="s">
        <v>176</v>
      </c>
      <c r="N134" t="s">
        <v>24</v>
      </c>
      <c r="O134" t="s">
        <v>50</v>
      </c>
      <c r="P134">
        <v>63555.73</v>
      </c>
      <c r="Q134" t="s">
        <v>26</v>
      </c>
      <c r="R134">
        <v>44159</v>
      </c>
      <c r="S134">
        <v>1</v>
      </c>
      <c r="T134" t="s">
        <v>18</v>
      </c>
      <c r="U134" t="s">
        <v>84</v>
      </c>
      <c r="V134">
        <v>3.5753424657534247</v>
      </c>
      <c r="W134" t="s">
        <v>20</v>
      </c>
    </row>
    <row r="135" spans="11:23" x14ac:dyDescent="0.25">
      <c r="K135" t="s">
        <v>612</v>
      </c>
      <c r="L135" t="s">
        <v>613</v>
      </c>
      <c r="M135" t="s">
        <v>614</v>
      </c>
      <c r="N135" t="s">
        <v>24</v>
      </c>
      <c r="O135" t="s">
        <v>124</v>
      </c>
      <c r="P135">
        <v>68197.899999999994</v>
      </c>
      <c r="Q135" t="s">
        <v>26</v>
      </c>
      <c r="R135">
        <v>44119</v>
      </c>
      <c r="S135">
        <v>1</v>
      </c>
      <c r="T135" t="s">
        <v>18</v>
      </c>
      <c r="U135" t="s">
        <v>77</v>
      </c>
      <c r="V135">
        <v>3.6849315068493151</v>
      </c>
      <c r="W135" t="s">
        <v>20</v>
      </c>
    </row>
    <row r="136" spans="11:23" x14ac:dyDescent="0.25">
      <c r="K136" t="s">
        <v>639</v>
      </c>
      <c r="L136" t="s">
        <v>640</v>
      </c>
      <c r="M136" t="s">
        <v>641</v>
      </c>
      <c r="N136" t="s">
        <v>24</v>
      </c>
      <c r="O136" t="s">
        <v>16</v>
      </c>
      <c r="P136">
        <v>94815.28</v>
      </c>
      <c r="Q136" t="s">
        <v>26</v>
      </c>
      <c r="R136">
        <v>43440</v>
      </c>
      <c r="S136">
        <v>1</v>
      </c>
      <c r="T136" t="s">
        <v>18</v>
      </c>
      <c r="U136" t="s">
        <v>27</v>
      </c>
      <c r="V136">
        <v>5.5452054794520551</v>
      </c>
      <c r="W136" t="s">
        <v>20</v>
      </c>
    </row>
    <row r="137" spans="11:23" x14ac:dyDescent="0.25">
      <c r="K137" t="s">
        <v>91</v>
      </c>
      <c r="L137" t="s">
        <v>92</v>
      </c>
      <c r="M137" t="s">
        <v>93</v>
      </c>
      <c r="N137" t="s">
        <v>15</v>
      </c>
      <c r="O137" t="s">
        <v>58</v>
      </c>
      <c r="P137">
        <v>52748.63</v>
      </c>
      <c r="Q137" t="s">
        <v>26</v>
      </c>
      <c r="R137">
        <v>43857</v>
      </c>
      <c r="S137">
        <v>1</v>
      </c>
      <c r="T137" t="s">
        <v>18</v>
      </c>
      <c r="U137" t="s">
        <v>84</v>
      </c>
      <c r="V137">
        <v>4.4027397260273968</v>
      </c>
      <c r="W137" t="s">
        <v>20</v>
      </c>
    </row>
    <row r="138" spans="11:23" x14ac:dyDescent="0.25">
      <c r="K138" t="s">
        <v>551</v>
      </c>
      <c r="L138" t="s">
        <v>552</v>
      </c>
      <c r="M138" t="s">
        <v>553</v>
      </c>
      <c r="N138" t="s">
        <v>24</v>
      </c>
      <c r="O138" t="s">
        <v>32</v>
      </c>
      <c r="P138">
        <v>109163.39</v>
      </c>
      <c r="Q138" t="s">
        <v>17</v>
      </c>
      <c r="R138">
        <v>44019</v>
      </c>
      <c r="S138">
        <v>0.8</v>
      </c>
      <c r="T138" t="s">
        <v>18</v>
      </c>
      <c r="U138" t="s">
        <v>27</v>
      </c>
      <c r="V138">
        <v>3.9589041095890409</v>
      </c>
      <c r="W138" t="s">
        <v>28</v>
      </c>
    </row>
    <row r="139" spans="11:23" x14ac:dyDescent="0.25">
      <c r="K139" t="s">
        <v>404</v>
      </c>
      <c r="L139" t="s">
        <v>405</v>
      </c>
      <c r="M139" t="s">
        <v>406</v>
      </c>
      <c r="N139" t="s">
        <v>24</v>
      </c>
      <c r="O139" t="s">
        <v>50</v>
      </c>
      <c r="P139">
        <v>88034.67</v>
      </c>
      <c r="Q139" t="s">
        <v>26</v>
      </c>
      <c r="R139">
        <v>43669</v>
      </c>
      <c r="S139">
        <v>1</v>
      </c>
      <c r="T139" t="s">
        <v>18</v>
      </c>
      <c r="U139" t="s">
        <v>19</v>
      </c>
      <c r="V139">
        <v>4.9178082191780819</v>
      </c>
      <c r="W139" t="s">
        <v>20</v>
      </c>
    </row>
    <row r="140" spans="11:23" x14ac:dyDescent="0.25">
      <c r="K140" t="s">
        <v>345</v>
      </c>
      <c r="L140" t="s">
        <v>346</v>
      </c>
      <c r="M140" t="s">
        <v>347</v>
      </c>
      <c r="N140" t="s">
        <v>24</v>
      </c>
      <c r="O140" t="s">
        <v>32</v>
      </c>
      <c r="P140">
        <v>42161.77</v>
      </c>
      <c r="Q140" t="s">
        <v>65</v>
      </c>
      <c r="R140">
        <v>43494</v>
      </c>
      <c r="S140">
        <v>1</v>
      </c>
      <c r="T140" t="s">
        <v>18</v>
      </c>
      <c r="U140" t="s">
        <v>77</v>
      </c>
      <c r="V140">
        <v>5.397260273972603</v>
      </c>
      <c r="W140" t="s">
        <v>20</v>
      </c>
    </row>
    <row r="141" spans="11:23" x14ac:dyDescent="0.25">
      <c r="K141" t="s">
        <v>327</v>
      </c>
      <c r="L141" t="s">
        <v>328</v>
      </c>
      <c r="M141" t="s">
        <v>329</v>
      </c>
      <c r="N141" t="s">
        <v>15</v>
      </c>
      <c r="O141" t="s">
        <v>50</v>
      </c>
      <c r="P141">
        <v>59258.19</v>
      </c>
      <c r="Q141" t="s">
        <v>26</v>
      </c>
      <c r="R141">
        <v>43452</v>
      </c>
      <c r="S141">
        <v>0.8</v>
      </c>
      <c r="T141" t="s">
        <v>18</v>
      </c>
      <c r="U141" t="s">
        <v>27</v>
      </c>
      <c r="V141">
        <v>5.5123287671232877</v>
      </c>
      <c r="W141" t="s">
        <v>28</v>
      </c>
    </row>
    <row r="142" spans="11:23" x14ac:dyDescent="0.25">
      <c r="K142" t="s">
        <v>327</v>
      </c>
      <c r="L142" t="s">
        <v>328</v>
      </c>
      <c r="M142" t="s">
        <v>329</v>
      </c>
      <c r="N142" t="s">
        <v>15</v>
      </c>
      <c r="O142" t="s">
        <v>50</v>
      </c>
      <c r="P142">
        <v>59258.19</v>
      </c>
      <c r="Q142" t="s">
        <v>26</v>
      </c>
      <c r="R142">
        <v>43452</v>
      </c>
      <c r="S142">
        <v>0.8</v>
      </c>
      <c r="T142" t="s">
        <v>18</v>
      </c>
      <c r="U142" t="s">
        <v>27</v>
      </c>
      <c r="V142">
        <v>5.5123287671232877</v>
      </c>
      <c r="W142" t="s">
        <v>28</v>
      </c>
    </row>
    <row r="143" spans="11:23" x14ac:dyDescent="0.25">
      <c r="K143" t="s">
        <v>109</v>
      </c>
      <c r="L143" t="s">
        <v>110</v>
      </c>
      <c r="M143" t="s">
        <v>111</v>
      </c>
      <c r="N143" t="s">
        <v>24</v>
      </c>
      <c r="O143" t="s">
        <v>36</v>
      </c>
      <c r="P143">
        <v>71570.990000000005</v>
      </c>
      <c r="Q143" t="s">
        <v>26</v>
      </c>
      <c r="R143">
        <v>44249</v>
      </c>
      <c r="S143">
        <v>0.5</v>
      </c>
      <c r="T143" t="s">
        <v>18</v>
      </c>
      <c r="U143" t="s">
        <v>41</v>
      </c>
      <c r="V143">
        <v>3.3287671232876712</v>
      </c>
      <c r="W143" t="s">
        <v>28</v>
      </c>
    </row>
    <row r="144" spans="11:23" x14ac:dyDescent="0.25">
      <c r="K144" t="s">
        <v>371</v>
      </c>
      <c r="L144" t="s">
        <v>372</v>
      </c>
      <c r="M144" t="s">
        <v>373</v>
      </c>
      <c r="N144" t="s">
        <v>15</v>
      </c>
      <c r="O144" t="s">
        <v>101</v>
      </c>
      <c r="P144">
        <v>67633.850000000006</v>
      </c>
      <c r="Q144" t="s">
        <v>26</v>
      </c>
      <c r="R144">
        <v>43340</v>
      </c>
      <c r="S144">
        <v>1</v>
      </c>
      <c r="T144" t="s">
        <v>18</v>
      </c>
      <c r="U144" t="s">
        <v>72</v>
      </c>
      <c r="V144">
        <v>5.8191780821917805</v>
      </c>
      <c r="W144" t="s">
        <v>20</v>
      </c>
    </row>
    <row r="145" spans="11:23" x14ac:dyDescent="0.25">
      <c r="K145" t="s">
        <v>357</v>
      </c>
      <c r="L145" t="s">
        <v>358</v>
      </c>
      <c r="M145" t="s">
        <v>359</v>
      </c>
      <c r="N145" t="s">
        <v>15</v>
      </c>
      <c r="O145" t="s">
        <v>131</v>
      </c>
      <c r="P145">
        <v>89838.77</v>
      </c>
      <c r="Q145" t="s">
        <v>26</v>
      </c>
      <c r="R145">
        <v>43602</v>
      </c>
      <c r="S145">
        <v>1</v>
      </c>
      <c r="T145" t="s">
        <v>18</v>
      </c>
      <c r="U145" t="s">
        <v>19</v>
      </c>
      <c r="V145">
        <v>5.1013698630136988</v>
      </c>
      <c r="W145" t="s">
        <v>20</v>
      </c>
    </row>
    <row r="146" spans="11:23" x14ac:dyDescent="0.25">
      <c r="K146" t="s">
        <v>466</v>
      </c>
      <c r="L146" t="s">
        <v>467</v>
      </c>
      <c r="M146" t="s">
        <v>468</v>
      </c>
      <c r="N146" t="s">
        <v>15</v>
      </c>
      <c r="O146" t="s">
        <v>131</v>
      </c>
      <c r="P146">
        <v>28481.16</v>
      </c>
      <c r="Q146" t="s">
        <v>65</v>
      </c>
      <c r="R146">
        <v>43916</v>
      </c>
      <c r="S146">
        <v>1</v>
      </c>
      <c r="T146" t="s">
        <v>18</v>
      </c>
      <c r="U146" t="s">
        <v>41</v>
      </c>
      <c r="V146">
        <v>4.2410958904109588</v>
      </c>
      <c r="W146" t="s">
        <v>20</v>
      </c>
    </row>
    <row r="147" spans="11:23" x14ac:dyDescent="0.25">
      <c r="K147" t="s">
        <v>466</v>
      </c>
      <c r="L147" t="s">
        <v>617</v>
      </c>
      <c r="M147" t="s">
        <v>618</v>
      </c>
      <c r="N147" t="s">
        <v>15</v>
      </c>
      <c r="O147" t="s">
        <v>131</v>
      </c>
      <c r="P147">
        <v>28481.16</v>
      </c>
      <c r="Q147" t="s">
        <v>65</v>
      </c>
      <c r="R147">
        <v>43916</v>
      </c>
      <c r="S147">
        <v>1</v>
      </c>
      <c r="T147" t="s">
        <v>18</v>
      </c>
      <c r="U147" t="s">
        <v>41</v>
      </c>
      <c r="V147">
        <v>4.2410958904109588</v>
      </c>
      <c r="W147" t="s">
        <v>20</v>
      </c>
    </row>
    <row r="148" spans="11:23" x14ac:dyDescent="0.25">
      <c r="K148" t="s">
        <v>66</v>
      </c>
      <c r="L148" t="s">
        <v>67</v>
      </c>
      <c r="M148" t="s">
        <v>68</v>
      </c>
      <c r="N148" t="s">
        <v>24</v>
      </c>
      <c r="O148" t="s">
        <v>16</v>
      </c>
      <c r="P148">
        <v>114425.19</v>
      </c>
      <c r="Q148" t="s">
        <v>17</v>
      </c>
      <c r="R148">
        <v>43857</v>
      </c>
      <c r="S148">
        <v>1</v>
      </c>
      <c r="T148" t="s">
        <v>18</v>
      </c>
      <c r="U148" t="s">
        <v>45</v>
      </c>
      <c r="V148">
        <v>4.4027397260273968</v>
      </c>
      <c r="W148" t="s">
        <v>20</v>
      </c>
    </row>
    <row r="149" spans="11:23" x14ac:dyDescent="0.25">
      <c r="K149" t="s">
        <v>401</v>
      </c>
      <c r="L149" t="s">
        <v>402</v>
      </c>
      <c r="M149" t="s">
        <v>403</v>
      </c>
      <c r="N149" t="s">
        <v>15</v>
      </c>
      <c r="O149" t="s">
        <v>131</v>
      </c>
      <c r="P149">
        <v>99460.78</v>
      </c>
      <c r="Q149" t="s">
        <v>26</v>
      </c>
      <c r="R149">
        <v>43956</v>
      </c>
      <c r="S149">
        <v>1</v>
      </c>
      <c r="T149" t="s">
        <v>18</v>
      </c>
      <c r="U149" t="s">
        <v>19</v>
      </c>
      <c r="V149">
        <v>4.1315068493150688</v>
      </c>
      <c r="W149" t="s">
        <v>20</v>
      </c>
    </row>
    <row r="150" spans="11:23" x14ac:dyDescent="0.25">
      <c r="K150" t="s">
        <v>715</v>
      </c>
      <c r="L150" t="s">
        <v>716</v>
      </c>
      <c r="M150" t="s">
        <v>717</v>
      </c>
      <c r="N150" t="s">
        <v>15</v>
      </c>
      <c r="O150" t="s">
        <v>50</v>
      </c>
      <c r="P150">
        <v>30077.45</v>
      </c>
      <c r="Q150" t="s">
        <v>65</v>
      </c>
      <c r="R150">
        <v>43474</v>
      </c>
      <c r="S150">
        <v>1</v>
      </c>
      <c r="T150" t="s">
        <v>18</v>
      </c>
      <c r="U150" t="s">
        <v>45</v>
      </c>
      <c r="V150">
        <v>5.4520547945205475</v>
      </c>
      <c r="W150" t="s">
        <v>20</v>
      </c>
    </row>
    <row r="151" spans="11:23" x14ac:dyDescent="0.25">
      <c r="K151" t="s">
        <v>621</v>
      </c>
      <c r="L151" t="s">
        <v>622</v>
      </c>
      <c r="M151" t="s">
        <v>623</v>
      </c>
      <c r="N151" t="s">
        <v>15</v>
      </c>
      <c r="O151" t="s">
        <v>124</v>
      </c>
      <c r="P151">
        <v>80360.41</v>
      </c>
      <c r="Q151" t="s">
        <v>26</v>
      </c>
      <c r="R151">
        <v>44167</v>
      </c>
      <c r="S151">
        <v>1</v>
      </c>
      <c r="T151" t="s">
        <v>18</v>
      </c>
      <c r="U151" t="s">
        <v>19</v>
      </c>
      <c r="V151">
        <v>3.5534246575342467</v>
      </c>
      <c r="W151" t="s">
        <v>20</v>
      </c>
    </row>
    <row r="152" spans="11:23" x14ac:dyDescent="0.25">
      <c r="K152" t="s">
        <v>563</v>
      </c>
      <c r="L152" t="s">
        <v>564</v>
      </c>
      <c r="M152" t="s">
        <v>565</v>
      </c>
      <c r="N152" t="s">
        <v>24</v>
      </c>
      <c r="O152" t="s">
        <v>124</v>
      </c>
      <c r="P152">
        <v>68795.48</v>
      </c>
      <c r="Q152" t="s">
        <v>26</v>
      </c>
      <c r="R152">
        <v>44277</v>
      </c>
      <c r="S152">
        <v>0.2</v>
      </c>
      <c r="T152" t="s">
        <v>18</v>
      </c>
      <c r="U152" t="s">
        <v>19</v>
      </c>
      <c r="V152">
        <v>3.2520547945205478</v>
      </c>
      <c r="W152" t="s">
        <v>28</v>
      </c>
    </row>
    <row r="153" spans="11:23" x14ac:dyDescent="0.25">
      <c r="K153" t="s">
        <v>563</v>
      </c>
      <c r="L153" t="s">
        <v>564</v>
      </c>
      <c r="M153" t="s">
        <v>565</v>
      </c>
      <c r="N153" t="s">
        <v>24</v>
      </c>
      <c r="O153" t="s">
        <v>124</v>
      </c>
      <c r="P153">
        <v>68795.48</v>
      </c>
      <c r="Q153" t="s">
        <v>26</v>
      </c>
      <c r="R153">
        <v>44277</v>
      </c>
      <c r="S153">
        <v>0.2</v>
      </c>
      <c r="T153" t="s">
        <v>18</v>
      </c>
      <c r="U153" t="s">
        <v>19</v>
      </c>
      <c r="V153">
        <v>3.2520547945205478</v>
      </c>
      <c r="W153" t="s">
        <v>28</v>
      </c>
    </row>
    <row r="154" spans="11:23" x14ac:dyDescent="0.25">
      <c r="K154" t="s">
        <v>386</v>
      </c>
      <c r="L154" t="s">
        <v>387</v>
      </c>
      <c r="M154" t="s">
        <v>388</v>
      </c>
      <c r="N154" t="s">
        <v>15</v>
      </c>
      <c r="O154" t="s">
        <v>25</v>
      </c>
      <c r="P154">
        <v>88511.17</v>
      </c>
      <c r="Q154" t="s">
        <v>26</v>
      </c>
      <c r="R154">
        <v>43950</v>
      </c>
      <c r="S154">
        <v>1</v>
      </c>
      <c r="T154" t="s">
        <v>18</v>
      </c>
      <c r="U154" t="s">
        <v>72</v>
      </c>
      <c r="V154">
        <v>4.1479452054794521</v>
      </c>
      <c r="W154" t="s">
        <v>20</v>
      </c>
    </row>
    <row r="155" spans="11:23" x14ac:dyDescent="0.25">
      <c r="K155" t="s">
        <v>581</v>
      </c>
      <c r="L155" t="s">
        <v>582</v>
      </c>
      <c r="M155" t="s">
        <v>583</v>
      </c>
      <c r="N155" t="s">
        <v>15</v>
      </c>
      <c r="O155" t="s">
        <v>101</v>
      </c>
      <c r="P155">
        <v>57925.91</v>
      </c>
      <c r="Q155" t="s">
        <v>26</v>
      </c>
      <c r="R155">
        <v>43572</v>
      </c>
      <c r="S155">
        <v>0.5</v>
      </c>
      <c r="T155" t="s">
        <v>18</v>
      </c>
      <c r="U155" t="s">
        <v>45</v>
      </c>
      <c r="V155">
        <v>5.183561643835616</v>
      </c>
      <c r="W155" t="s">
        <v>28</v>
      </c>
    </row>
    <row r="156" spans="11:23" x14ac:dyDescent="0.25">
      <c r="K156" t="s">
        <v>168</v>
      </c>
      <c r="L156" t="s">
        <v>169</v>
      </c>
      <c r="M156" t="s">
        <v>170</v>
      </c>
      <c r="N156" t="s">
        <v>15</v>
      </c>
      <c r="O156" t="s">
        <v>25</v>
      </c>
      <c r="P156">
        <v>80169.42</v>
      </c>
      <c r="Q156" t="s">
        <v>26</v>
      </c>
      <c r="R156">
        <v>44053</v>
      </c>
      <c r="S156">
        <v>1</v>
      </c>
      <c r="T156" t="s">
        <v>18</v>
      </c>
      <c r="U156" t="s">
        <v>77</v>
      </c>
      <c r="V156">
        <v>3.8657534246575342</v>
      </c>
      <c r="W156" t="s">
        <v>20</v>
      </c>
    </row>
    <row r="157" spans="11:23" x14ac:dyDescent="0.25">
      <c r="K157" t="s">
        <v>168</v>
      </c>
      <c r="L157" t="s">
        <v>169</v>
      </c>
      <c r="M157" t="s">
        <v>170</v>
      </c>
      <c r="N157" t="s">
        <v>15</v>
      </c>
      <c r="O157" t="s">
        <v>25</v>
      </c>
      <c r="P157">
        <v>80169.42</v>
      </c>
      <c r="Q157" t="s">
        <v>26</v>
      </c>
      <c r="R157">
        <v>44053</v>
      </c>
      <c r="S157">
        <v>1</v>
      </c>
      <c r="T157" t="s">
        <v>18</v>
      </c>
      <c r="U157" t="s">
        <v>77</v>
      </c>
      <c r="V157">
        <v>3.8657534246575342</v>
      </c>
      <c r="W157" t="s">
        <v>20</v>
      </c>
    </row>
    <row r="158" spans="11:23" x14ac:dyDescent="0.25">
      <c r="K158" t="s">
        <v>422</v>
      </c>
      <c r="L158" t="s">
        <v>423</v>
      </c>
      <c r="M158" t="s">
        <v>424</v>
      </c>
      <c r="N158" t="s">
        <v>15</v>
      </c>
      <c r="O158" t="s">
        <v>32</v>
      </c>
      <c r="P158">
        <v>88689.09</v>
      </c>
      <c r="Q158" t="s">
        <v>26</v>
      </c>
      <c r="R158">
        <v>43740</v>
      </c>
      <c r="S158">
        <v>1</v>
      </c>
      <c r="T158" t="s">
        <v>18</v>
      </c>
      <c r="U158" t="s">
        <v>27</v>
      </c>
      <c r="V158">
        <v>4.7232876712328764</v>
      </c>
      <c r="W158" t="s">
        <v>20</v>
      </c>
    </row>
    <row r="159" spans="11:23" x14ac:dyDescent="0.25">
      <c r="K159" t="s">
        <v>697</v>
      </c>
      <c r="L159" t="s">
        <v>133</v>
      </c>
      <c r="M159" t="s">
        <v>134</v>
      </c>
      <c r="N159" t="s">
        <v>15</v>
      </c>
      <c r="O159" t="s">
        <v>25</v>
      </c>
      <c r="P159">
        <v>90884.32</v>
      </c>
      <c r="Q159" t="s">
        <v>26</v>
      </c>
      <c r="R159">
        <v>44039</v>
      </c>
      <c r="S159">
        <v>0.5</v>
      </c>
      <c r="T159" t="s">
        <v>18</v>
      </c>
      <c r="U159" t="s">
        <v>72</v>
      </c>
      <c r="V159">
        <v>3.904109589041096</v>
      </c>
      <c r="W159" t="s">
        <v>28</v>
      </c>
    </row>
    <row r="160" spans="11:23" x14ac:dyDescent="0.25">
      <c r="K160" t="s">
        <v>660</v>
      </c>
      <c r="L160" t="s">
        <v>661</v>
      </c>
      <c r="M160" t="s">
        <v>662</v>
      </c>
      <c r="N160" t="s">
        <v>15</v>
      </c>
      <c r="O160" t="s">
        <v>58</v>
      </c>
      <c r="P160">
        <v>69709.509999999995</v>
      </c>
      <c r="Q160" t="s">
        <v>26</v>
      </c>
      <c r="R160">
        <v>43472</v>
      </c>
      <c r="S160">
        <v>1</v>
      </c>
      <c r="T160" t="s">
        <v>18</v>
      </c>
      <c r="U160" t="s">
        <v>41</v>
      </c>
      <c r="V160">
        <v>5.4575342465753423</v>
      </c>
      <c r="W160" t="s">
        <v>20</v>
      </c>
    </row>
    <row r="161" spans="11:23" x14ac:dyDescent="0.25">
      <c r="K161" t="s">
        <v>718</v>
      </c>
      <c r="L161" t="s">
        <v>719</v>
      </c>
      <c r="M161" t="s">
        <v>720</v>
      </c>
      <c r="N161" t="s">
        <v>49</v>
      </c>
      <c r="O161" t="s">
        <v>101</v>
      </c>
      <c r="P161">
        <v>98012.63</v>
      </c>
      <c r="Q161" t="s">
        <v>26</v>
      </c>
      <c r="R161">
        <v>43780</v>
      </c>
      <c r="S161">
        <v>1</v>
      </c>
      <c r="T161" t="s">
        <v>18</v>
      </c>
      <c r="U161" t="s">
        <v>19</v>
      </c>
      <c r="V161">
        <v>4.6136986301369864</v>
      </c>
      <c r="W161" t="s">
        <v>20</v>
      </c>
    </row>
    <row r="162" spans="11:23" x14ac:dyDescent="0.25">
      <c r="K162" t="s">
        <v>691</v>
      </c>
      <c r="L162" t="s">
        <v>692</v>
      </c>
      <c r="M162" t="s">
        <v>693</v>
      </c>
      <c r="N162" t="s">
        <v>15</v>
      </c>
      <c r="O162" t="s">
        <v>97</v>
      </c>
      <c r="P162">
        <v>28329.77</v>
      </c>
      <c r="Q162" t="s">
        <v>65</v>
      </c>
      <c r="R162">
        <v>43402</v>
      </c>
      <c r="S162">
        <v>1</v>
      </c>
      <c r="T162" t="s">
        <v>18</v>
      </c>
      <c r="U162" t="s">
        <v>27</v>
      </c>
      <c r="V162">
        <v>5.6493150684931503</v>
      </c>
      <c r="W162" t="s">
        <v>20</v>
      </c>
    </row>
    <row r="163" spans="11:23" x14ac:dyDescent="0.25">
      <c r="K163" t="s">
        <v>252</v>
      </c>
      <c r="L163" t="s">
        <v>253</v>
      </c>
      <c r="M163" t="s">
        <v>254</v>
      </c>
      <c r="N163" t="s">
        <v>49</v>
      </c>
      <c r="O163" t="s">
        <v>97</v>
      </c>
      <c r="P163">
        <v>67957.899999999994</v>
      </c>
      <c r="Q163" t="s">
        <v>26</v>
      </c>
      <c r="R163">
        <v>43430</v>
      </c>
      <c r="S163">
        <v>1</v>
      </c>
      <c r="T163" t="s">
        <v>18</v>
      </c>
      <c r="U163" t="s">
        <v>84</v>
      </c>
      <c r="V163">
        <v>5.5726027397260278</v>
      </c>
      <c r="W163" t="s">
        <v>20</v>
      </c>
    </row>
    <row r="164" spans="11:23" x14ac:dyDescent="0.25">
      <c r="K164" t="s">
        <v>156</v>
      </c>
      <c r="L164" t="s">
        <v>157</v>
      </c>
      <c r="M164" t="s">
        <v>158</v>
      </c>
      <c r="N164" t="s">
        <v>24</v>
      </c>
      <c r="O164" t="s">
        <v>101</v>
      </c>
      <c r="P164">
        <v>69163.39</v>
      </c>
      <c r="Q164" t="s">
        <v>26</v>
      </c>
      <c r="R164">
        <v>43397</v>
      </c>
      <c r="S164">
        <v>1</v>
      </c>
      <c r="T164" t="s">
        <v>18</v>
      </c>
      <c r="U164" t="s">
        <v>19</v>
      </c>
      <c r="V164">
        <v>5.6630136986301371</v>
      </c>
      <c r="W164" t="s">
        <v>20</v>
      </c>
    </row>
    <row r="165" spans="11:23" x14ac:dyDescent="0.25">
      <c r="K165" t="s">
        <v>156</v>
      </c>
      <c r="L165" t="s">
        <v>157</v>
      </c>
      <c r="M165" t="s">
        <v>158</v>
      </c>
      <c r="N165" t="s">
        <v>24</v>
      </c>
      <c r="O165" t="s">
        <v>101</v>
      </c>
      <c r="P165">
        <v>69163.39</v>
      </c>
      <c r="Q165" t="s">
        <v>26</v>
      </c>
      <c r="R165">
        <v>43397</v>
      </c>
      <c r="S165">
        <v>1</v>
      </c>
      <c r="T165" t="s">
        <v>18</v>
      </c>
      <c r="U165" t="s">
        <v>19</v>
      </c>
      <c r="V165">
        <v>5.6630136986301371</v>
      </c>
      <c r="W165" t="s">
        <v>20</v>
      </c>
    </row>
    <row r="166" spans="11:23" x14ac:dyDescent="0.25">
      <c r="K166" t="s">
        <v>492</v>
      </c>
      <c r="L166" t="s">
        <v>493</v>
      </c>
      <c r="M166" t="s">
        <v>494</v>
      </c>
      <c r="N166" t="s">
        <v>15</v>
      </c>
      <c r="O166" t="s">
        <v>105</v>
      </c>
      <c r="P166">
        <v>96753.78</v>
      </c>
      <c r="Q166" t="s">
        <v>26</v>
      </c>
      <c r="R166">
        <v>44494</v>
      </c>
      <c r="S166">
        <v>1</v>
      </c>
      <c r="T166" t="s">
        <v>18</v>
      </c>
      <c r="U166" t="s">
        <v>77</v>
      </c>
      <c r="V166">
        <v>2.6575342465753424</v>
      </c>
      <c r="W166" t="s">
        <v>20</v>
      </c>
    </row>
    <row r="167" spans="11:23" x14ac:dyDescent="0.25">
      <c r="K167" t="s">
        <v>492</v>
      </c>
      <c r="L167" t="s">
        <v>493</v>
      </c>
      <c r="M167" t="s">
        <v>494</v>
      </c>
      <c r="N167" t="s">
        <v>15</v>
      </c>
      <c r="O167" t="s">
        <v>105</v>
      </c>
      <c r="P167">
        <v>96753.78</v>
      </c>
      <c r="Q167" t="s">
        <v>26</v>
      </c>
      <c r="R167">
        <v>44494</v>
      </c>
      <c r="S167">
        <v>1</v>
      </c>
      <c r="T167" t="s">
        <v>18</v>
      </c>
      <c r="U167" t="s">
        <v>77</v>
      </c>
      <c r="V167">
        <v>2.6575342465753424</v>
      </c>
      <c r="W167" t="s">
        <v>20</v>
      </c>
    </row>
    <row r="168" spans="11:23" x14ac:dyDescent="0.25">
      <c r="K168" t="s">
        <v>495</v>
      </c>
      <c r="L168" t="s">
        <v>496</v>
      </c>
      <c r="M168" t="s">
        <v>497</v>
      </c>
      <c r="N168" t="s">
        <v>24</v>
      </c>
      <c r="O168" t="s">
        <v>50</v>
      </c>
      <c r="P168">
        <v>28974.03</v>
      </c>
      <c r="Q168" t="s">
        <v>65</v>
      </c>
      <c r="R168">
        <v>43733</v>
      </c>
      <c r="S168">
        <v>1</v>
      </c>
      <c r="T168" t="s">
        <v>18</v>
      </c>
      <c r="U168" t="s">
        <v>77</v>
      </c>
      <c r="V168">
        <v>4.7424657534246579</v>
      </c>
      <c r="W168" t="s">
        <v>20</v>
      </c>
    </row>
    <row r="169" spans="11:23" x14ac:dyDescent="0.25">
      <c r="K169" t="s">
        <v>38</v>
      </c>
      <c r="L169" t="s">
        <v>39</v>
      </c>
      <c r="M169" t="s">
        <v>40</v>
      </c>
      <c r="N169" t="s">
        <v>24</v>
      </c>
      <c r="O169" t="s">
        <v>36</v>
      </c>
      <c r="P169">
        <v>57002.02</v>
      </c>
      <c r="Q169" t="s">
        <v>26</v>
      </c>
      <c r="R169">
        <v>43192</v>
      </c>
      <c r="S169">
        <v>0.7</v>
      </c>
      <c r="T169" t="s">
        <v>18</v>
      </c>
      <c r="U169" t="s">
        <v>41</v>
      </c>
      <c r="V169">
        <v>6.2246575342465755</v>
      </c>
      <c r="W169" t="s">
        <v>28</v>
      </c>
    </row>
    <row r="170" spans="11:23" x14ac:dyDescent="0.25">
      <c r="K170" t="s">
        <v>439</v>
      </c>
      <c r="L170" t="s">
        <v>440</v>
      </c>
      <c r="M170" t="s">
        <v>441</v>
      </c>
      <c r="N170" t="s">
        <v>24</v>
      </c>
      <c r="O170" t="s">
        <v>25</v>
      </c>
      <c r="P170">
        <v>33031.26</v>
      </c>
      <c r="Q170" t="s">
        <v>65</v>
      </c>
      <c r="R170">
        <v>43468</v>
      </c>
      <c r="S170">
        <v>0.4</v>
      </c>
      <c r="T170" t="s">
        <v>18</v>
      </c>
      <c r="U170" t="s">
        <v>41</v>
      </c>
      <c r="V170">
        <v>5.4684931506849317</v>
      </c>
      <c r="W170" t="s">
        <v>28</v>
      </c>
    </row>
    <row r="171" spans="11:23" x14ac:dyDescent="0.25">
      <c r="K171" t="s">
        <v>231</v>
      </c>
      <c r="L171" t="s">
        <v>232</v>
      </c>
      <c r="M171" t="s">
        <v>233</v>
      </c>
      <c r="N171" t="s">
        <v>24</v>
      </c>
      <c r="O171" t="s">
        <v>105</v>
      </c>
      <c r="P171">
        <v>84762.76</v>
      </c>
      <c r="Q171" t="s">
        <v>26</v>
      </c>
      <c r="R171">
        <v>43332</v>
      </c>
      <c r="S171">
        <v>1</v>
      </c>
      <c r="T171" t="s">
        <v>18</v>
      </c>
      <c r="U171" t="s">
        <v>41</v>
      </c>
      <c r="V171">
        <v>5.8410958904109593</v>
      </c>
      <c r="W171" t="s">
        <v>20</v>
      </c>
    </row>
    <row r="172" spans="11:23" x14ac:dyDescent="0.25">
      <c r="K172" t="s">
        <v>722</v>
      </c>
      <c r="L172" t="s">
        <v>723</v>
      </c>
      <c r="M172" t="s">
        <v>724</v>
      </c>
      <c r="N172" t="s">
        <v>15</v>
      </c>
      <c r="O172" t="s">
        <v>16</v>
      </c>
      <c r="P172">
        <v>92943.89</v>
      </c>
      <c r="Q172" t="s">
        <v>26</v>
      </c>
      <c r="R172">
        <v>44510</v>
      </c>
      <c r="S172">
        <v>1</v>
      </c>
      <c r="T172" t="s">
        <v>18</v>
      </c>
      <c r="U172" t="s">
        <v>41</v>
      </c>
      <c r="V172">
        <v>2.6136986301369864</v>
      </c>
      <c r="W172" t="s">
        <v>20</v>
      </c>
    </row>
    <row r="173" spans="11:23" x14ac:dyDescent="0.25">
      <c r="K173" t="s">
        <v>207</v>
      </c>
      <c r="L173" t="s">
        <v>208</v>
      </c>
      <c r="M173" t="s">
        <v>209</v>
      </c>
      <c r="N173" t="s">
        <v>24</v>
      </c>
      <c r="O173" t="s">
        <v>58</v>
      </c>
      <c r="P173">
        <v>39700.82</v>
      </c>
      <c r="Q173" t="s">
        <v>65</v>
      </c>
      <c r="R173">
        <v>44203</v>
      </c>
      <c r="S173">
        <v>0.8</v>
      </c>
      <c r="T173" t="s">
        <v>18</v>
      </c>
      <c r="U173" t="s">
        <v>84</v>
      </c>
      <c r="V173">
        <v>3.4547945205479453</v>
      </c>
      <c r="W173" t="s">
        <v>28</v>
      </c>
    </row>
    <row r="174" spans="11:23" x14ac:dyDescent="0.25">
      <c r="K174" t="s">
        <v>207</v>
      </c>
      <c r="L174" t="s">
        <v>592</v>
      </c>
      <c r="M174" t="s">
        <v>731</v>
      </c>
      <c r="N174" t="s">
        <v>24</v>
      </c>
      <c r="O174" t="s">
        <v>58</v>
      </c>
      <c r="P174">
        <v>39700.82</v>
      </c>
      <c r="Q174" t="s">
        <v>65</v>
      </c>
      <c r="R174">
        <v>44203</v>
      </c>
      <c r="S174">
        <v>0.8</v>
      </c>
      <c r="T174" t="s">
        <v>18</v>
      </c>
      <c r="U174" t="s">
        <v>84</v>
      </c>
      <c r="V174">
        <v>3.4547945205479453</v>
      </c>
      <c r="W174" t="s">
        <v>28</v>
      </c>
    </row>
    <row r="175" spans="11:23" x14ac:dyDescent="0.25">
      <c r="K175" t="s">
        <v>377</v>
      </c>
      <c r="L175" t="s">
        <v>378</v>
      </c>
      <c r="M175" t="s">
        <v>379</v>
      </c>
      <c r="N175" t="s">
        <v>15</v>
      </c>
      <c r="O175" t="s">
        <v>25</v>
      </c>
      <c r="P175">
        <v>39784.239999999998</v>
      </c>
      <c r="Q175" t="s">
        <v>65</v>
      </c>
      <c r="R175">
        <v>43465</v>
      </c>
      <c r="S175">
        <v>1</v>
      </c>
      <c r="T175" t="s">
        <v>37</v>
      </c>
      <c r="U175" t="s">
        <v>84</v>
      </c>
      <c r="V175">
        <v>5.4767123287671229</v>
      </c>
      <c r="W175" t="s">
        <v>20</v>
      </c>
    </row>
    <row r="176" spans="11:23" x14ac:dyDescent="0.25">
      <c r="K176" t="s">
        <v>554</v>
      </c>
      <c r="L176" t="s">
        <v>555</v>
      </c>
      <c r="M176" t="s">
        <v>556</v>
      </c>
      <c r="N176" t="s">
        <v>15</v>
      </c>
      <c r="O176" t="s">
        <v>54</v>
      </c>
      <c r="P176">
        <v>31816.57</v>
      </c>
      <c r="Q176" t="s">
        <v>65</v>
      </c>
      <c r="R176">
        <v>43497</v>
      </c>
      <c r="S176">
        <v>0.3</v>
      </c>
      <c r="T176" t="s">
        <v>37</v>
      </c>
      <c r="U176" t="s">
        <v>19</v>
      </c>
      <c r="V176">
        <v>5.3890410958904109</v>
      </c>
      <c r="W176" t="s">
        <v>28</v>
      </c>
    </row>
    <row r="177" spans="11:23" x14ac:dyDescent="0.25">
      <c r="K177" t="s">
        <v>180</v>
      </c>
      <c r="L177" t="s">
        <v>181</v>
      </c>
      <c r="M177" t="s">
        <v>182</v>
      </c>
      <c r="N177" t="s">
        <v>24</v>
      </c>
      <c r="O177" t="s">
        <v>124</v>
      </c>
      <c r="P177">
        <v>67818.14</v>
      </c>
      <c r="Q177" t="s">
        <v>26</v>
      </c>
      <c r="R177">
        <v>43406</v>
      </c>
      <c r="S177">
        <v>0.6</v>
      </c>
      <c r="T177" t="s">
        <v>37</v>
      </c>
      <c r="U177" t="s">
        <v>19</v>
      </c>
      <c r="V177">
        <v>5.6383561643835618</v>
      </c>
      <c r="W177" t="s">
        <v>28</v>
      </c>
    </row>
    <row r="178" spans="11:23" x14ac:dyDescent="0.25">
      <c r="K178" t="s">
        <v>180</v>
      </c>
      <c r="L178" t="s">
        <v>181</v>
      </c>
      <c r="M178" t="s">
        <v>182</v>
      </c>
      <c r="N178" t="s">
        <v>24</v>
      </c>
      <c r="O178" t="s">
        <v>124</v>
      </c>
      <c r="P178">
        <v>67818.14</v>
      </c>
      <c r="Q178" t="s">
        <v>26</v>
      </c>
      <c r="R178">
        <v>43406</v>
      </c>
      <c r="S178">
        <v>0.6</v>
      </c>
      <c r="T178" t="s">
        <v>37</v>
      </c>
      <c r="U178" t="s">
        <v>19</v>
      </c>
      <c r="V178">
        <v>5.6383561643835618</v>
      </c>
      <c r="W178" t="s">
        <v>28</v>
      </c>
    </row>
    <row r="179" spans="11:23" x14ac:dyDescent="0.25">
      <c r="K179" t="s">
        <v>195</v>
      </c>
      <c r="L179" t="s">
        <v>196</v>
      </c>
      <c r="M179" t="s">
        <v>197</v>
      </c>
      <c r="N179" t="s">
        <v>15</v>
      </c>
      <c r="O179" t="s">
        <v>36</v>
      </c>
      <c r="P179">
        <v>79567.69</v>
      </c>
      <c r="Q179" t="s">
        <v>26</v>
      </c>
      <c r="R179">
        <v>43272</v>
      </c>
      <c r="S179">
        <v>1</v>
      </c>
      <c r="T179" t="s">
        <v>37</v>
      </c>
      <c r="U179" t="s">
        <v>84</v>
      </c>
      <c r="V179">
        <v>6.0054794520547947</v>
      </c>
      <c r="W179" t="s">
        <v>20</v>
      </c>
    </row>
    <row r="180" spans="11:23" x14ac:dyDescent="0.25">
      <c r="K180" t="s">
        <v>219</v>
      </c>
      <c r="L180" t="s">
        <v>220</v>
      </c>
      <c r="M180" t="s">
        <v>221</v>
      </c>
      <c r="N180" t="s">
        <v>15</v>
      </c>
      <c r="O180" t="s">
        <v>97</v>
      </c>
      <c r="P180">
        <v>72876.91</v>
      </c>
      <c r="Q180" t="s">
        <v>26</v>
      </c>
      <c r="R180">
        <v>43612</v>
      </c>
      <c r="S180">
        <v>0.4</v>
      </c>
      <c r="T180" t="s">
        <v>37</v>
      </c>
      <c r="U180" t="s">
        <v>77</v>
      </c>
      <c r="V180">
        <v>5.0739726027397261</v>
      </c>
      <c r="W180" t="s">
        <v>28</v>
      </c>
    </row>
    <row r="181" spans="11:23" x14ac:dyDescent="0.25">
      <c r="K181" t="s">
        <v>569</v>
      </c>
      <c r="L181" t="s">
        <v>570</v>
      </c>
      <c r="M181" t="s">
        <v>571</v>
      </c>
      <c r="N181" t="s">
        <v>15</v>
      </c>
      <c r="O181" t="s">
        <v>58</v>
      </c>
      <c r="P181">
        <v>78705.929999999993</v>
      </c>
      <c r="Q181" t="s">
        <v>26</v>
      </c>
      <c r="R181">
        <v>43409</v>
      </c>
      <c r="S181">
        <v>1</v>
      </c>
      <c r="T181" t="s">
        <v>37</v>
      </c>
      <c r="U181" t="s">
        <v>27</v>
      </c>
      <c r="V181">
        <v>5.6301369863013697</v>
      </c>
      <c r="W181" t="s">
        <v>20</v>
      </c>
    </row>
    <row r="182" spans="11:23" x14ac:dyDescent="0.25">
      <c r="K182" t="s">
        <v>106</v>
      </c>
      <c r="L182" t="s">
        <v>107</v>
      </c>
      <c r="M182" t="s">
        <v>108</v>
      </c>
      <c r="N182" t="s">
        <v>15</v>
      </c>
      <c r="O182" t="s">
        <v>16</v>
      </c>
      <c r="P182">
        <v>43329.22</v>
      </c>
      <c r="Q182" t="s">
        <v>65</v>
      </c>
      <c r="R182">
        <v>43809</v>
      </c>
      <c r="S182">
        <v>0.5</v>
      </c>
      <c r="T182" t="s">
        <v>37</v>
      </c>
      <c r="U182" t="s">
        <v>19</v>
      </c>
      <c r="V182">
        <v>4.5342465753424657</v>
      </c>
      <c r="W182" t="s">
        <v>28</v>
      </c>
    </row>
    <row r="183" spans="11:23" x14ac:dyDescent="0.25">
      <c r="K183" t="s">
        <v>303</v>
      </c>
      <c r="L183" t="s">
        <v>304</v>
      </c>
      <c r="M183" t="s">
        <v>305</v>
      </c>
      <c r="N183" t="s">
        <v>24</v>
      </c>
      <c r="O183" t="s">
        <v>58</v>
      </c>
      <c r="P183">
        <v>99683.67</v>
      </c>
      <c r="Q183" t="s">
        <v>26</v>
      </c>
      <c r="R183">
        <v>43500</v>
      </c>
      <c r="S183">
        <v>1</v>
      </c>
      <c r="T183" t="s">
        <v>37</v>
      </c>
      <c r="U183" t="s">
        <v>27</v>
      </c>
      <c r="V183">
        <v>5.3808219178082188</v>
      </c>
      <c r="W183" t="s">
        <v>20</v>
      </c>
    </row>
    <row r="184" spans="11:23" x14ac:dyDescent="0.25">
      <c r="K184" t="s">
        <v>303</v>
      </c>
      <c r="L184" t="s">
        <v>304</v>
      </c>
      <c r="M184" t="s">
        <v>305</v>
      </c>
      <c r="N184" t="s">
        <v>24</v>
      </c>
      <c r="O184" t="s">
        <v>58</v>
      </c>
      <c r="P184">
        <v>99683.67</v>
      </c>
      <c r="Q184" t="s">
        <v>26</v>
      </c>
      <c r="R184">
        <v>43500</v>
      </c>
      <c r="S184">
        <v>1</v>
      </c>
      <c r="T184" t="s">
        <v>37</v>
      </c>
      <c r="U184" t="s">
        <v>27</v>
      </c>
      <c r="V184">
        <v>5.3808219178082188</v>
      </c>
      <c r="W184" t="s">
        <v>20</v>
      </c>
    </row>
    <row r="185" spans="11:23" x14ac:dyDescent="0.25">
      <c r="K185" t="s">
        <v>264</v>
      </c>
      <c r="L185" t="s">
        <v>265</v>
      </c>
      <c r="M185" t="s">
        <v>266</v>
      </c>
      <c r="N185" t="s">
        <v>15</v>
      </c>
      <c r="O185" t="s">
        <v>124</v>
      </c>
      <c r="P185">
        <v>106775.14</v>
      </c>
      <c r="Q185" t="s">
        <v>17</v>
      </c>
      <c r="R185">
        <v>43563</v>
      </c>
      <c r="S185">
        <v>1</v>
      </c>
      <c r="T185" t="s">
        <v>37</v>
      </c>
      <c r="U185" t="s">
        <v>41</v>
      </c>
      <c r="V185">
        <v>5.2082191780821914</v>
      </c>
      <c r="W185" t="s">
        <v>20</v>
      </c>
    </row>
    <row r="186" spans="11:23" x14ac:dyDescent="0.25">
      <c r="K186" t="s">
        <v>264</v>
      </c>
      <c r="L186" t="s">
        <v>363</v>
      </c>
      <c r="M186" t="s">
        <v>364</v>
      </c>
      <c r="N186" t="s">
        <v>15</v>
      </c>
      <c r="O186" t="s">
        <v>124</v>
      </c>
      <c r="P186">
        <v>106775.14</v>
      </c>
      <c r="Q186" t="s">
        <v>17</v>
      </c>
      <c r="R186">
        <v>43563</v>
      </c>
      <c r="S186">
        <v>1</v>
      </c>
      <c r="T186" t="s">
        <v>37</v>
      </c>
      <c r="U186" t="s">
        <v>41</v>
      </c>
      <c r="V186">
        <v>5.2082191780821914</v>
      </c>
      <c r="W186" t="s">
        <v>20</v>
      </c>
    </row>
    <row r="187" spans="11:23" x14ac:dyDescent="0.25">
      <c r="K187" t="s">
        <v>539</v>
      </c>
      <c r="L187" t="s">
        <v>540</v>
      </c>
      <c r="M187" t="s">
        <v>541</v>
      </c>
      <c r="N187" t="s">
        <v>24</v>
      </c>
      <c r="O187" t="s">
        <v>97</v>
      </c>
      <c r="P187">
        <v>73488.679999999993</v>
      </c>
      <c r="Q187" t="s">
        <v>26</v>
      </c>
      <c r="R187">
        <v>43570</v>
      </c>
      <c r="S187">
        <v>1</v>
      </c>
      <c r="T187" t="s">
        <v>37</v>
      </c>
      <c r="U187" t="s">
        <v>27</v>
      </c>
      <c r="V187">
        <v>5.1890410958904107</v>
      </c>
      <c r="W187" t="s">
        <v>20</v>
      </c>
    </row>
    <row r="188" spans="11:23" x14ac:dyDescent="0.25">
      <c r="K188" t="s">
        <v>383</v>
      </c>
      <c r="L188" t="s">
        <v>384</v>
      </c>
      <c r="M188" t="s">
        <v>385</v>
      </c>
      <c r="N188" t="s">
        <v>15</v>
      </c>
      <c r="O188" t="s">
        <v>131</v>
      </c>
      <c r="P188">
        <v>72843.23</v>
      </c>
      <c r="Q188" t="s">
        <v>26</v>
      </c>
      <c r="R188">
        <v>43280</v>
      </c>
      <c r="S188">
        <v>1</v>
      </c>
      <c r="T188" t="s">
        <v>37</v>
      </c>
      <c r="U188" t="s">
        <v>45</v>
      </c>
      <c r="V188">
        <v>5.9835616438356167</v>
      </c>
      <c r="W188" t="s">
        <v>20</v>
      </c>
    </row>
    <row r="189" spans="11:23" x14ac:dyDescent="0.25">
      <c r="K189" t="s">
        <v>576</v>
      </c>
      <c r="L189" t="s">
        <v>238</v>
      </c>
      <c r="M189" t="s">
        <v>577</v>
      </c>
      <c r="N189" t="s">
        <v>24</v>
      </c>
      <c r="O189" t="s">
        <v>124</v>
      </c>
      <c r="P189">
        <v>91929.69</v>
      </c>
      <c r="Q189" t="s">
        <v>26</v>
      </c>
      <c r="R189">
        <v>44085</v>
      </c>
      <c r="S189">
        <v>1</v>
      </c>
      <c r="T189" t="s">
        <v>37</v>
      </c>
      <c r="U189" t="s">
        <v>19</v>
      </c>
      <c r="V189">
        <v>3.7780821917808218</v>
      </c>
      <c r="W189" t="s">
        <v>20</v>
      </c>
    </row>
    <row r="190" spans="11:23" x14ac:dyDescent="0.25">
      <c r="K190" t="s">
        <v>542</v>
      </c>
      <c r="L190" t="s">
        <v>543</v>
      </c>
      <c r="M190" t="s">
        <v>544</v>
      </c>
      <c r="N190" t="s">
        <v>24</v>
      </c>
      <c r="O190" t="s">
        <v>97</v>
      </c>
      <c r="P190">
        <v>92704.48</v>
      </c>
      <c r="Q190" t="s">
        <v>26</v>
      </c>
      <c r="R190">
        <v>43430</v>
      </c>
      <c r="S190">
        <v>1</v>
      </c>
      <c r="T190" t="s">
        <v>37</v>
      </c>
      <c r="U190" t="s">
        <v>72</v>
      </c>
      <c r="V190">
        <v>5.5726027397260278</v>
      </c>
      <c r="W190" t="s">
        <v>20</v>
      </c>
    </row>
    <row r="191" spans="11:23" x14ac:dyDescent="0.25">
      <c r="K191" t="s">
        <v>153</v>
      </c>
      <c r="L191" t="s">
        <v>154</v>
      </c>
      <c r="M191" t="s">
        <v>155</v>
      </c>
      <c r="N191" t="s">
        <v>24</v>
      </c>
      <c r="O191" t="s">
        <v>50</v>
      </c>
      <c r="P191">
        <v>100371.31</v>
      </c>
      <c r="Q191" t="s">
        <v>17</v>
      </c>
      <c r="R191">
        <v>44067</v>
      </c>
      <c r="S191">
        <v>0.8</v>
      </c>
      <c r="T191" t="s">
        <v>37</v>
      </c>
      <c r="U191" t="s">
        <v>77</v>
      </c>
      <c r="V191">
        <v>3.8273972602739725</v>
      </c>
      <c r="W191" t="s">
        <v>28</v>
      </c>
    </row>
    <row r="192" spans="11:23" x14ac:dyDescent="0.25">
      <c r="K192" t="s">
        <v>694</v>
      </c>
      <c r="L192" t="s">
        <v>695</v>
      </c>
      <c r="M192" t="s">
        <v>696</v>
      </c>
      <c r="N192" t="s">
        <v>24</v>
      </c>
      <c r="O192" t="s">
        <v>36</v>
      </c>
      <c r="P192">
        <v>93964.3</v>
      </c>
      <c r="Q192" t="s">
        <v>26</v>
      </c>
      <c r="R192">
        <v>44454</v>
      </c>
      <c r="S192">
        <v>0.4</v>
      </c>
      <c r="T192" t="s">
        <v>37</v>
      </c>
      <c r="U192" t="s">
        <v>41</v>
      </c>
      <c r="V192">
        <v>2.7671232876712328</v>
      </c>
      <c r="W192" t="s">
        <v>28</v>
      </c>
    </row>
    <row r="193" spans="11:23" x14ac:dyDescent="0.25">
      <c r="K193" t="s">
        <v>237</v>
      </c>
      <c r="L193" t="s">
        <v>238</v>
      </c>
      <c r="M193" t="s">
        <v>239</v>
      </c>
      <c r="N193" t="s">
        <v>49</v>
      </c>
      <c r="O193" t="s">
        <v>97</v>
      </c>
      <c r="P193">
        <v>99448.78</v>
      </c>
      <c r="Q193" t="s">
        <v>26</v>
      </c>
      <c r="R193">
        <v>43473</v>
      </c>
      <c r="S193">
        <v>1</v>
      </c>
      <c r="T193" t="s">
        <v>37</v>
      </c>
      <c r="U193" t="s">
        <v>45</v>
      </c>
      <c r="V193">
        <v>5.4547945205479449</v>
      </c>
      <c r="W193" t="s">
        <v>20</v>
      </c>
    </row>
    <row r="194" spans="11:23" x14ac:dyDescent="0.25">
      <c r="K194" t="s">
        <v>237</v>
      </c>
      <c r="L194" t="s">
        <v>238</v>
      </c>
      <c r="M194" t="s">
        <v>239</v>
      </c>
      <c r="N194" t="s">
        <v>49</v>
      </c>
      <c r="O194" t="s">
        <v>97</v>
      </c>
      <c r="P194">
        <v>99448.78</v>
      </c>
      <c r="Q194" t="s">
        <v>26</v>
      </c>
      <c r="R194">
        <v>43473</v>
      </c>
      <c r="S194">
        <v>1</v>
      </c>
      <c r="T194" t="s">
        <v>37</v>
      </c>
      <c r="U194" t="s">
        <v>45</v>
      </c>
      <c r="V194">
        <v>5.4547945205479449</v>
      </c>
      <c r="W194" t="s">
        <v>20</v>
      </c>
    </row>
    <row r="195" spans="11:23" x14ac:dyDescent="0.25">
      <c r="K195" t="s">
        <v>475</v>
      </c>
      <c r="L195" t="s">
        <v>476</v>
      </c>
      <c r="M195" t="s">
        <v>477</v>
      </c>
      <c r="N195" t="s">
        <v>15</v>
      </c>
      <c r="O195" t="s">
        <v>25</v>
      </c>
      <c r="P195">
        <v>69764.100000000006</v>
      </c>
      <c r="Q195" t="s">
        <v>26</v>
      </c>
      <c r="R195">
        <v>44195</v>
      </c>
      <c r="S195">
        <v>1</v>
      </c>
      <c r="T195" t="s">
        <v>37</v>
      </c>
      <c r="U195" t="s">
        <v>27</v>
      </c>
      <c r="V195">
        <v>3.4767123287671233</v>
      </c>
      <c r="W195" t="s">
        <v>20</v>
      </c>
    </row>
    <row r="196" spans="11:23" x14ac:dyDescent="0.25">
      <c r="K196" t="s">
        <v>300</v>
      </c>
      <c r="L196" t="s">
        <v>301</v>
      </c>
      <c r="M196" t="s">
        <v>302</v>
      </c>
      <c r="N196" t="s">
        <v>24</v>
      </c>
      <c r="O196" t="s">
        <v>50</v>
      </c>
      <c r="P196">
        <v>104038.9</v>
      </c>
      <c r="Q196" t="s">
        <v>17</v>
      </c>
      <c r="R196">
        <v>43815</v>
      </c>
      <c r="S196">
        <v>1</v>
      </c>
      <c r="T196" t="s">
        <v>37</v>
      </c>
      <c r="U196" t="s">
        <v>19</v>
      </c>
      <c r="V196">
        <v>4.5178082191780824</v>
      </c>
      <c r="W196" t="s">
        <v>20</v>
      </c>
    </row>
    <row r="197" spans="11:23" x14ac:dyDescent="0.25">
      <c r="K197" t="s">
        <v>732</v>
      </c>
      <c r="L197" t="s">
        <v>733</v>
      </c>
      <c r="M197" t="s">
        <v>734</v>
      </c>
      <c r="N197" t="s">
        <v>24</v>
      </c>
      <c r="O197" t="s">
        <v>131</v>
      </c>
      <c r="P197">
        <v>31089.22</v>
      </c>
      <c r="Q197" t="s">
        <v>65</v>
      </c>
      <c r="R197">
        <v>43776</v>
      </c>
      <c r="S197">
        <v>1</v>
      </c>
      <c r="T197" t="s">
        <v>37</v>
      </c>
      <c r="U197" t="s">
        <v>84</v>
      </c>
      <c r="V197">
        <v>4.624657534246575</v>
      </c>
      <c r="W197" t="s">
        <v>20</v>
      </c>
    </row>
    <row r="198" spans="11:23" x14ac:dyDescent="0.25">
      <c r="K198" t="s">
        <v>587</v>
      </c>
      <c r="L198" t="s">
        <v>588</v>
      </c>
      <c r="M198" t="s">
        <v>589</v>
      </c>
      <c r="N198" t="s">
        <v>15</v>
      </c>
      <c r="O198" t="s">
        <v>16</v>
      </c>
      <c r="P198">
        <v>53184.02</v>
      </c>
      <c r="Q198" t="s">
        <v>26</v>
      </c>
      <c r="R198">
        <v>43180</v>
      </c>
      <c r="S198">
        <v>1</v>
      </c>
      <c r="T198" t="s">
        <v>37</v>
      </c>
      <c r="U198" t="s">
        <v>19</v>
      </c>
      <c r="V198">
        <v>6.2575342465753421</v>
      </c>
      <c r="W198" t="s">
        <v>20</v>
      </c>
    </row>
    <row r="199" spans="11:23" x14ac:dyDescent="0.25">
      <c r="K199" t="s">
        <v>636</v>
      </c>
      <c r="L199" t="s">
        <v>637</v>
      </c>
      <c r="M199" t="s">
        <v>638</v>
      </c>
      <c r="N199" t="s">
        <v>24</v>
      </c>
      <c r="O199" t="s">
        <v>124</v>
      </c>
      <c r="P199">
        <v>49625.64</v>
      </c>
      <c r="Q199" t="s">
        <v>65</v>
      </c>
      <c r="R199">
        <v>44384</v>
      </c>
      <c r="S199">
        <v>0.5</v>
      </c>
      <c r="T199" t="s">
        <v>37</v>
      </c>
      <c r="U199" t="s">
        <v>19</v>
      </c>
      <c r="V199">
        <v>2.9589041095890409</v>
      </c>
      <c r="W199" t="s">
        <v>28</v>
      </c>
    </row>
    <row r="200" spans="11:23" x14ac:dyDescent="0.25">
      <c r="K200" t="s">
        <v>463</v>
      </c>
      <c r="L200" t="s">
        <v>464</v>
      </c>
      <c r="M200" t="s">
        <v>465</v>
      </c>
      <c r="N200" t="s">
        <v>15</v>
      </c>
      <c r="O200" t="s">
        <v>32</v>
      </c>
      <c r="P200">
        <v>47646.95</v>
      </c>
      <c r="Q200" t="s">
        <v>65</v>
      </c>
      <c r="R200">
        <v>43791</v>
      </c>
      <c r="S200">
        <v>0.3</v>
      </c>
      <c r="T200" t="s">
        <v>37</v>
      </c>
      <c r="U200" t="s">
        <v>84</v>
      </c>
      <c r="V200">
        <v>4.5835616438356164</v>
      </c>
      <c r="W200" t="s">
        <v>28</v>
      </c>
    </row>
    <row r="201" spans="11:23" x14ac:dyDescent="0.25">
      <c r="K201" t="s">
        <v>615</v>
      </c>
      <c r="L201" t="s">
        <v>247</v>
      </c>
      <c r="M201" t="s">
        <v>616</v>
      </c>
      <c r="N201" t="s">
        <v>15</v>
      </c>
      <c r="O201" t="s">
        <v>124</v>
      </c>
      <c r="P201">
        <v>89960.6</v>
      </c>
      <c r="Q201" t="s">
        <v>26</v>
      </c>
      <c r="R201">
        <v>43515</v>
      </c>
      <c r="S201">
        <v>1</v>
      </c>
      <c r="T201" t="s">
        <v>37</v>
      </c>
      <c r="U201" t="s">
        <v>77</v>
      </c>
      <c r="V201">
        <v>5.3397260273972602</v>
      </c>
      <c r="W201" t="s">
        <v>20</v>
      </c>
    </row>
    <row r="202" spans="11:23" x14ac:dyDescent="0.25">
      <c r="K202" t="s">
        <v>710</v>
      </c>
      <c r="L202" t="s">
        <v>711</v>
      </c>
      <c r="M202" t="s">
        <v>712</v>
      </c>
      <c r="N202" t="s">
        <v>15</v>
      </c>
      <c r="O202" t="s">
        <v>105</v>
      </c>
      <c r="P202">
        <v>91314.75</v>
      </c>
      <c r="Q202" t="s">
        <v>26</v>
      </c>
      <c r="R202">
        <v>43931</v>
      </c>
      <c r="S202">
        <v>1</v>
      </c>
      <c r="T202" t="s">
        <v>37</v>
      </c>
      <c r="U202" t="s">
        <v>27</v>
      </c>
      <c r="V202">
        <v>4.2</v>
      </c>
      <c r="W202" t="s">
        <v>20</v>
      </c>
    </row>
    <row r="203" spans="11:23" x14ac:dyDescent="0.25">
      <c r="K203" t="s">
        <v>62</v>
      </c>
      <c r="L203" t="s">
        <v>63</v>
      </c>
      <c r="M203" t="s">
        <v>64</v>
      </c>
      <c r="N203" t="s">
        <v>24</v>
      </c>
      <c r="O203" t="s">
        <v>32</v>
      </c>
      <c r="P203">
        <v>42314.39</v>
      </c>
      <c r="Q203" t="s">
        <v>65</v>
      </c>
      <c r="R203">
        <v>44487</v>
      </c>
      <c r="S203">
        <v>1</v>
      </c>
      <c r="T203" t="s">
        <v>37</v>
      </c>
      <c r="U203" t="s">
        <v>19</v>
      </c>
      <c r="V203">
        <v>2.6767123287671235</v>
      </c>
      <c r="W203" t="s">
        <v>20</v>
      </c>
    </row>
    <row r="204" spans="11:23" x14ac:dyDescent="0.25">
      <c r="K204" t="s">
        <v>478</v>
      </c>
      <c r="L204" t="s">
        <v>479</v>
      </c>
      <c r="M204" t="s">
        <v>480</v>
      </c>
      <c r="N204" t="s">
        <v>24</v>
      </c>
      <c r="O204" t="s">
        <v>105</v>
      </c>
      <c r="P204">
        <v>84598.88</v>
      </c>
      <c r="Q204" t="s">
        <v>26</v>
      </c>
      <c r="R204">
        <v>44116</v>
      </c>
      <c r="S204">
        <v>1</v>
      </c>
      <c r="T204" t="s">
        <v>37</v>
      </c>
      <c r="U204" t="s">
        <v>27</v>
      </c>
      <c r="V204">
        <v>3.6931506849315068</v>
      </c>
      <c r="W204" t="s">
        <v>20</v>
      </c>
    </row>
    <row r="205" spans="11:23" x14ac:dyDescent="0.25">
      <c r="K205" t="s">
        <v>478</v>
      </c>
      <c r="L205" t="s">
        <v>479</v>
      </c>
      <c r="M205" t="s">
        <v>480</v>
      </c>
      <c r="N205" t="s">
        <v>24</v>
      </c>
      <c r="O205" t="s">
        <v>105</v>
      </c>
      <c r="P205">
        <v>84598.88</v>
      </c>
      <c r="Q205" t="s">
        <v>26</v>
      </c>
      <c r="R205">
        <v>44116</v>
      </c>
      <c r="S205">
        <v>1</v>
      </c>
      <c r="T205" t="s">
        <v>37</v>
      </c>
      <c r="U205" t="s">
        <v>27</v>
      </c>
      <c r="V205">
        <v>3.6931506849315068</v>
      </c>
      <c r="W205" t="s">
        <v>20</v>
      </c>
    </row>
    <row r="206" spans="11:23" x14ac:dyDescent="0.25">
      <c r="K206" t="s">
        <v>545</v>
      </c>
      <c r="L206" t="s">
        <v>546</v>
      </c>
      <c r="M206" t="s">
        <v>547</v>
      </c>
      <c r="N206" t="s">
        <v>15</v>
      </c>
      <c r="O206" t="s">
        <v>16</v>
      </c>
      <c r="P206">
        <v>78443.78</v>
      </c>
      <c r="Q206" t="s">
        <v>26</v>
      </c>
      <c r="R206">
        <v>43599</v>
      </c>
      <c r="S206">
        <v>1</v>
      </c>
      <c r="T206" t="s">
        <v>37</v>
      </c>
      <c r="U206" t="s">
        <v>41</v>
      </c>
      <c r="V206">
        <v>5.1095890410958908</v>
      </c>
      <c r="W206" t="s">
        <v>20</v>
      </c>
    </row>
    <row r="207" spans="11:23" x14ac:dyDescent="0.25">
      <c r="K207" t="s">
        <v>663</v>
      </c>
      <c r="L207" t="s">
        <v>664</v>
      </c>
      <c r="M207" t="s">
        <v>665</v>
      </c>
      <c r="N207" t="s">
        <v>24</v>
      </c>
      <c r="O207" t="s">
        <v>58</v>
      </c>
      <c r="P207">
        <v>46751.7</v>
      </c>
      <c r="Q207" t="s">
        <v>65</v>
      </c>
      <c r="R207">
        <v>43843</v>
      </c>
      <c r="S207">
        <v>1</v>
      </c>
      <c r="T207" t="s">
        <v>37</v>
      </c>
      <c r="U207" t="s">
        <v>41</v>
      </c>
      <c r="V207">
        <v>4.441095890410959</v>
      </c>
      <c r="W207" t="s">
        <v>20</v>
      </c>
    </row>
    <row r="208" spans="11:23" x14ac:dyDescent="0.25">
      <c r="K208" t="s">
        <v>177</v>
      </c>
      <c r="L208" t="s">
        <v>178</v>
      </c>
      <c r="M208" t="s">
        <v>179</v>
      </c>
      <c r="N208" t="s">
        <v>15</v>
      </c>
      <c r="O208" t="s">
        <v>101</v>
      </c>
      <c r="P208">
        <v>57419.35</v>
      </c>
      <c r="Q208" t="s">
        <v>26</v>
      </c>
      <c r="R208">
        <v>43305</v>
      </c>
      <c r="S208">
        <v>1</v>
      </c>
      <c r="T208" t="s">
        <v>37</v>
      </c>
      <c r="U208" t="s">
        <v>77</v>
      </c>
      <c r="V208">
        <v>5.9150684931506845</v>
      </c>
      <c r="W208" t="s">
        <v>20</v>
      </c>
    </row>
    <row r="209" spans="11:23" x14ac:dyDescent="0.25">
      <c r="K209" t="s">
        <v>472</v>
      </c>
      <c r="L209" t="s">
        <v>473</v>
      </c>
      <c r="M209" t="s">
        <v>474</v>
      </c>
      <c r="N209" t="s">
        <v>15</v>
      </c>
      <c r="O209" t="s">
        <v>50</v>
      </c>
      <c r="P209">
        <v>95017.1</v>
      </c>
      <c r="Q209" t="s">
        <v>26</v>
      </c>
      <c r="R209">
        <v>43283</v>
      </c>
      <c r="S209">
        <v>1</v>
      </c>
      <c r="T209" t="s">
        <v>37</v>
      </c>
      <c r="U209" t="s">
        <v>27</v>
      </c>
      <c r="V209">
        <v>5.9753424657534246</v>
      </c>
      <c r="W209" t="s">
        <v>20</v>
      </c>
    </row>
    <row r="210" spans="11:23" x14ac:dyDescent="0.25">
      <c r="K210" t="s">
        <v>572</v>
      </c>
      <c r="L210" t="s">
        <v>573</v>
      </c>
      <c r="M210" t="s">
        <v>574</v>
      </c>
      <c r="N210" t="s">
        <v>15</v>
      </c>
      <c r="O210" t="s">
        <v>54</v>
      </c>
      <c r="P210">
        <v>53535.62</v>
      </c>
      <c r="Q210" t="s">
        <v>26</v>
      </c>
      <c r="R210">
        <v>44110</v>
      </c>
      <c r="S210">
        <v>0.5</v>
      </c>
      <c r="T210" t="s">
        <v>37</v>
      </c>
      <c r="U210" t="s">
        <v>27</v>
      </c>
      <c r="V210">
        <v>3.7095890410958905</v>
      </c>
      <c r="W210" t="s">
        <v>28</v>
      </c>
    </row>
    <row r="211" spans="11:23" x14ac:dyDescent="0.25">
      <c r="K211" t="s">
        <v>222</v>
      </c>
      <c r="L211" t="s">
        <v>223</v>
      </c>
      <c r="M211" t="s">
        <v>224</v>
      </c>
      <c r="N211" t="s">
        <v>24</v>
      </c>
      <c r="O211" t="s">
        <v>131</v>
      </c>
      <c r="P211">
        <v>31042.51</v>
      </c>
      <c r="Q211" t="s">
        <v>65</v>
      </c>
      <c r="R211">
        <v>44473</v>
      </c>
      <c r="S211">
        <v>0.3</v>
      </c>
      <c r="T211" t="s">
        <v>37</v>
      </c>
      <c r="U211" t="s">
        <v>19</v>
      </c>
      <c r="V211">
        <v>2.7150684931506848</v>
      </c>
      <c r="W211" t="s">
        <v>28</v>
      </c>
    </row>
    <row r="212" spans="11:23" x14ac:dyDescent="0.25">
      <c r="K212" t="s">
        <v>498</v>
      </c>
      <c r="L212" t="s">
        <v>499</v>
      </c>
      <c r="M212" t="s">
        <v>500</v>
      </c>
      <c r="N212" t="s">
        <v>24</v>
      </c>
      <c r="O212" t="s">
        <v>25</v>
      </c>
      <c r="P212">
        <v>86233.83</v>
      </c>
      <c r="Q212" t="s">
        <v>26</v>
      </c>
      <c r="R212">
        <v>43706</v>
      </c>
      <c r="S212">
        <v>1</v>
      </c>
      <c r="T212" t="s">
        <v>37</v>
      </c>
      <c r="U212" t="s">
        <v>84</v>
      </c>
      <c r="V212">
        <v>4.816438356164384</v>
      </c>
      <c r="W212" t="s">
        <v>20</v>
      </c>
    </row>
    <row r="213" spans="11:23" x14ac:dyDescent="0.25">
      <c r="K213" t="s">
        <v>288</v>
      </c>
      <c r="L213" t="s">
        <v>289</v>
      </c>
      <c r="M213" t="s">
        <v>290</v>
      </c>
      <c r="N213" t="s">
        <v>24</v>
      </c>
      <c r="O213" t="s">
        <v>25</v>
      </c>
      <c r="P213">
        <v>86558.58</v>
      </c>
      <c r="Q213" t="s">
        <v>26</v>
      </c>
      <c r="R213">
        <v>43887</v>
      </c>
      <c r="S213">
        <v>1</v>
      </c>
      <c r="T213" t="s">
        <v>37</v>
      </c>
      <c r="U213" t="s">
        <v>19</v>
      </c>
      <c r="V213">
        <v>4.3205479452054796</v>
      </c>
      <c r="W213" t="s">
        <v>20</v>
      </c>
    </row>
    <row r="214" spans="11:23" x14ac:dyDescent="0.25">
      <c r="K214" t="s">
        <v>398</v>
      </c>
      <c r="L214" t="s">
        <v>399</v>
      </c>
      <c r="M214" t="s">
        <v>400</v>
      </c>
      <c r="N214" t="s">
        <v>24</v>
      </c>
      <c r="O214" t="s">
        <v>101</v>
      </c>
      <c r="P214">
        <v>76303.820000000007</v>
      </c>
      <c r="Q214" t="s">
        <v>26</v>
      </c>
      <c r="R214">
        <v>43458</v>
      </c>
      <c r="S214">
        <v>1</v>
      </c>
      <c r="T214" t="s">
        <v>37</v>
      </c>
      <c r="U214" t="s">
        <v>41</v>
      </c>
      <c r="V214">
        <v>5.4958904109589044</v>
      </c>
      <c r="W214" t="s">
        <v>20</v>
      </c>
    </row>
    <row r="215" spans="11:23" x14ac:dyDescent="0.25">
      <c r="K215" t="s">
        <v>398</v>
      </c>
      <c r="L215" t="s">
        <v>531</v>
      </c>
      <c r="M215" t="s">
        <v>532</v>
      </c>
      <c r="N215" t="s">
        <v>24</v>
      </c>
      <c r="O215" t="s">
        <v>101</v>
      </c>
      <c r="P215">
        <v>76303.820000000007</v>
      </c>
      <c r="Q215" t="s">
        <v>26</v>
      </c>
      <c r="R215">
        <v>43458</v>
      </c>
      <c r="S215">
        <v>1</v>
      </c>
      <c r="T215" t="s">
        <v>37</v>
      </c>
      <c r="U215" t="s">
        <v>41</v>
      </c>
      <c r="V215">
        <v>5.4958904109589044</v>
      </c>
      <c r="W215" t="s">
        <v>20</v>
      </c>
    </row>
    <row r="216" spans="11:23" x14ac:dyDescent="0.25">
      <c r="K216" t="s">
        <v>297</v>
      </c>
      <c r="L216" t="s">
        <v>298</v>
      </c>
      <c r="M216" t="s">
        <v>299</v>
      </c>
      <c r="N216" t="s">
        <v>24</v>
      </c>
      <c r="O216" t="s">
        <v>36</v>
      </c>
      <c r="P216">
        <v>101187.36</v>
      </c>
      <c r="Q216" t="s">
        <v>17</v>
      </c>
      <c r="R216">
        <v>43258</v>
      </c>
      <c r="S216">
        <v>1</v>
      </c>
      <c r="T216" t="s">
        <v>37</v>
      </c>
      <c r="U216" t="s">
        <v>72</v>
      </c>
      <c r="V216">
        <v>6.043835616438356</v>
      </c>
      <c r="W216" t="s">
        <v>20</v>
      </c>
    </row>
    <row r="217" spans="11:23" x14ac:dyDescent="0.25">
      <c r="K217" t="s">
        <v>516</v>
      </c>
      <c r="L217" t="s">
        <v>517</v>
      </c>
      <c r="M217" t="s">
        <v>518</v>
      </c>
      <c r="N217" t="s">
        <v>15</v>
      </c>
      <c r="O217" t="s">
        <v>16</v>
      </c>
      <c r="P217">
        <v>61624.77</v>
      </c>
      <c r="Q217" t="s">
        <v>26</v>
      </c>
      <c r="R217">
        <v>43430</v>
      </c>
      <c r="S217">
        <v>0.3</v>
      </c>
      <c r="T217" t="s">
        <v>37</v>
      </c>
      <c r="U217" t="s">
        <v>41</v>
      </c>
      <c r="V217">
        <v>5.5726027397260278</v>
      </c>
      <c r="W217" t="s">
        <v>28</v>
      </c>
    </row>
    <row r="218" spans="11:23" x14ac:dyDescent="0.25">
      <c r="K218" t="s">
        <v>165</v>
      </c>
      <c r="L218" t="s">
        <v>166</v>
      </c>
      <c r="M218" t="s">
        <v>167</v>
      </c>
      <c r="N218" t="s">
        <v>24</v>
      </c>
      <c r="O218" t="s">
        <v>32</v>
      </c>
      <c r="P218">
        <v>31172.77</v>
      </c>
      <c r="Q218" t="s">
        <v>65</v>
      </c>
      <c r="R218">
        <v>43665</v>
      </c>
      <c r="S218">
        <v>1</v>
      </c>
      <c r="T218" t="s">
        <v>37</v>
      </c>
      <c r="U218" t="s">
        <v>19</v>
      </c>
      <c r="V218">
        <v>4.9287671232876713</v>
      </c>
      <c r="W218" t="s">
        <v>20</v>
      </c>
    </row>
    <row r="219" spans="11:23" x14ac:dyDescent="0.25">
      <c r="K219" t="s">
        <v>599</v>
      </c>
      <c r="L219" t="s">
        <v>600</v>
      </c>
      <c r="M219" t="s">
        <v>601</v>
      </c>
      <c r="N219" t="s">
        <v>15</v>
      </c>
      <c r="O219" t="s">
        <v>101</v>
      </c>
      <c r="P219">
        <v>102515.81</v>
      </c>
      <c r="Q219" t="s">
        <v>17</v>
      </c>
      <c r="R219">
        <v>43902</v>
      </c>
      <c r="S219">
        <v>1</v>
      </c>
      <c r="T219" t="s">
        <v>37</v>
      </c>
      <c r="U219" t="s">
        <v>84</v>
      </c>
      <c r="V219">
        <v>4.279452054794521</v>
      </c>
      <c r="W219" t="s">
        <v>20</v>
      </c>
    </row>
    <row r="220" spans="11:23" x14ac:dyDescent="0.25">
      <c r="K220" t="s">
        <v>33</v>
      </c>
      <c r="L220" t="s">
        <v>34</v>
      </c>
      <c r="M220" t="s">
        <v>35</v>
      </c>
      <c r="N220" t="s">
        <v>24</v>
      </c>
      <c r="O220" t="s">
        <v>36</v>
      </c>
      <c r="P220">
        <v>93128.34</v>
      </c>
      <c r="Q220" t="s">
        <v>26</v>
      </c>
      <c r="R220">
        <v>43164</v>
      </c>
      <c r="S220">
        <v>1</v>
      </c>
      <c r="T220" t="s">
        <v>37</v>
      </c>
      <c r="U220" t="s">
        <v>27</v>
      </c>
      <c r="V220">
        <v>6.3013698630136989</v>
      </c>
      <c r="W220" t="s">
        <v>20</v>
      </c>
    </row>
    <row r="221" spans="11:23" x14ac:dyDescent="0.25">
      <c r="K221" t="s">
        <v>330</v>
      </c>
      <c r="L221" t="s">
        <v>331</v>
      </c>
      <c r="M221" t="s">
        <v>332</v>
      </c>
      <c r="N221" t="s">
        <v>15</v>
      </c>
      <c r="O221" t="s">
        <v>36</v>
      </c>
      <c r="P221">
        <v>112778.28</v>
      </c>
      <c r="Q221" t="s">
        <v>17</v>
      </c>
      <c r="R221">
        <v>43250</v>
      </c>
      <c r="S221">
        <v>1</v>
      </c>
      <c r="T221" t="s">
        <v>37</v>
      </c>
      <c r="U221" t="s">
        <v>19</v>
      </c>
      <c r="V221">
        <v>6.065753424657534</v>
      </c>
      <c r="W221" t="s">
        <v>20</v>
      </c>
    </row>
    <row r="222" spans="11:23" x14ac:dyDescent="0.25">
      <c r="K222" t="s">
        <v>330</v>
      </c>
      <c r="L222" t="s">
        <v>331</v>
      </c>
      <c r="M222" t="s">
        <v>332</v>
      </c>
      <c r="N222" t="s">
        <v>15</v>
      </c>
      <c r="O222" t="s">
        <v>36</v>
      </c>
      <c r="P222">
        <v>112778.28</v>
      </c>
      <c r="Q222" t="s">
        <v>17</v>
      </c>
      <c r="R222">
        <v>43250</v>
      </c>
      <c r="S222">
        <v>1</v>
      </c>
      <c r="T222" t="s">
        <v>37</v>
      </c>
      <c r="U222" t="s">
        <v>19</v>
      </c>
      <c r="V222">
        <v>6.065753424657534</v>
      </c>
      <c r="W222" t="s">
        <v>20</v>
      </c>
    </row>
    <row r="223" spans="11:23" x14ac:dyDescent="0.25">
      <c r="K223" t="s">
        <v>677</v>
      </c>
      <c r="L223" t="s">
        <v>678</v>
      </c>
      <c r="M223" t="s">
        <v>679</v>
      </c>
      <c r="N223" t="s">
        <v>15</v>
      </c>
      <c r="O223" t="s">
        <v>97</v>
      </c>
      <c r="P223">
        <v>65569.36</v>
      </c>
      <c r="Q223" t="s">
        <v>26</v>
      </c>
      <c r="R223">
        <v>43293</v>
      </c>
      <c r="S223">
        <v>1</v>
      </c>
      <c r="T223" t="s">
        <v>37</v>
      </c>
      <c r="U223" t="s">
        <v>77</v>
      </c>
      <c r="V223">
        <v>5.9479452054794519</v>
      </c>
      <c r="W223" t="s">
        <v>20</v>
      </c>
    </row>
    <row r="224" spans="11:23" x14ac:dyDescent="0.25">
      <c r="K224" t="s">
        <v>249</v>
      </c>
      <c r="L224" t="s">
        <v>250</v>
      </c>
      <c r="M224" t="s">
        <v>251</v>
      </c>
      <c r="N224" t="s">
        <v>24</v>
      </c>
      <c r="O224" t="s">
        <v>16</v>
      </c>
      <c r="P224">
        <v>51165.37</v>
      </c>
      <c r="Q224" t="s">
        <v>26</v>
      </c>
      <c r="R224">
        <v>44237</v>
      </c>
      <c r="S224">
        <v>1</v>
      </c>
      <c r="T224" t="s">
        <v>37</v>
      </c>
      <c r="U224" t="s">
        <v>41</v>
      </c>
      <c r="V224">
        <v>3.3616438356164382</v>
      </c>
      <c r="W224" t="s">
        <v>20</v>
      </c>
    </row>
    <row r="225" spans="11:23" x14ac:dyDescent="0.25">
      <c r="K225" t="s">
        <v>228</v>
      </c>
      <c r="L225" t="s">
        <v>229</v>
      </c>
      <c r="M225" t="s">
        <v>230</v>
      </c>
      <c r="N225" t="s">
        <v>24</v>
      </c>
      <c r="O225" t="s">
        <v>58</v>
      </c>
      <c r="P225">
        <v>59434.18</v>
      </c>
      <c r="Q225" t="s">
        <v>26</v>
      </c>
      <c r="R225">
        <v>43931</v>
      </c>
      <c r="S225">
        <v>1</v>
      </c>
      <c r="T225" t="s">
        <v>76</v>
      </c>
      <c r="U225" t="s">
        <v>27</v>
      </c>
      <c r="V225">
        <v>4.2</v>
      </c>
      <c r="W225" t="s">
        <v>20</v>
      </c>
    </row>
    <row r="226" spans="11:23" x14ac:dyDescent="0.25">
      <c r="K226" t="s">
        <v>144</v>
      </c>
      <c r="L226" t="s">
        <v>145</v>
      </c>
      <c r="M226" t="s">
        <v>146</v>
      </c>
      <c r="N226" t="s">
        <v>15</v>
      </c>
      <c r="O226" t="s">
        <v>36</v>
      </c>
      <c r="P226">
        <v>53949.26</v>
      </c>
      <c r="Q226" t="s">
        <v>26</v>
      </c>
      <c r="R226">
        <v>43808</v>
      </c>
      <c r="S226">
        <v>1</v>
      </c>
      <c r="T226" t="s">
        <v>76</v>
      </c>
      <c r="U226" t="s">
        <v>72</v>
      </c>
      <c r="V226">
        <v>4.536986301369863</v>
      </c>
      <c r="W226" t="s">
        <v>20</v>
      </c>
    </row>
    <row r="227" spans="11:23" x14ac:dyDescent="0.25">
      <c r="K227" t="s">
        <v>144</v>
      </c>
      <c r="L227" t="s">
        <v>145</v>
      </c>
      <c r="M227" t="s">
        <v>146</v>
      </c>
      <c r="N227" t="s">
        <v>15</v>
      </c>
      <c r="O227" t="s">
        <v>36</v>
      </c>
      <c r="P227">
        <v>53949.26</v>
      </c>
      <c r="Q227" t="s">
        <v>26</v>
      </c>
      <c r="R227">
        <v>43808</v>
      </c>
      <c r="S227">
        <v>1</v>
      </c>
      <c r="T227" t="s">
        <v>76</v>
      </c>
      <c r="U227" t="s">
        <v>72</v>
      </c>
      <c r="V227">
        <v>4.536986301369863</v>
      </c>
      <c r="W227" t="s">
        <v>20</v>
      </c>
    </row>
    <row r="228" spans="11:23" x14ac:dyDescent="0.25">
      <c r="K228" t="s">
        <v>425</v>
      </c>
      <c r="L228" t="s">
        <v>426</v>
      </c>
      <c r="M228" t="s">
        <v>427</v>
      </c>
      <c r="N228" t="s">
        <v>24</v>
      </c>
      <c r="O228" t="s">
        <v>58</v>
      </c>
      <c r="P228">
        <v>96555.53</v>
      </c>
      <c r="Q228" t="s">
        <v>26</v>
      </c>
      <c r="R228">
        <v>43489</v>
      </c>
      <c r="S228">
        <v>0.2</v>
      </c>
      <c r="T228" t="s">
        <v>76</v>
      </c>
      <c r="U228" t="s">
        <v>41</v>
      </c>
      <c r="V228">
        <v>5.4109589041095889</v>
      </c>
      <c r="W228" t="s">
        <v>28</v>
      </c>
    </row>
    <row r="229" spans="11:23" x14ac:dyDescent="0.25">
      <c r="K229" t="s">
        <v>315</v>
      </c>
      <c r="L229" t="s">
        <v>316</v>
      </c>
      <c r="M229" t="s">
        <v>317</v>
      </c>
      <c r="N229" t="s">
        <v>24</v>
      </c>
      <c r="O229" t="s">
        <v>101</v>
      </c>
      <c r="P229">
        <v>71823.56</v>
      </c>
      <c r="Q229" t="s">
        <v>26</v>
      </c>
      <c r="R229">
        <v>43374</v>
      </c>
      <c r="S229">
        <v>0.3</v>
      </c>
      <c r="T229" t="s">
        <v>76</v>
      </c>
      <c r="U229" t="s">
        <v>19</v>
      </c>
      <c r="V229">
        <v>5.7260273972602738</v>
      </c>
      <c r="W229" t="s">
        <v>28</v>
      </c>
    </row>
    <row r="230" spans="11:23" x14ac:dyDescent="0.25">
      <c r="K230" t="s">
        <v>315</v>
      </c>
      <c r="L230" t="s">
        <v>316</v>
      </c>
      <c r="M230" t="s">
        <v>317</v>
      </c>
      <c r="N230" t="s">
        <v>24</v>
      </c>
      <c r="O230" t="s">
        <v>101</v>
      </c>
      <c r="P230">
        <v>71823.56</v>
      </c>
      <c r="Q230" t="s">
        <v>26</v>
      </c>
      <c r="R230">
        <v>43374</v>
      </c>
      <c r="S230">
        <v>0.3</v>
      </c>
      <c r="T230" t="s">
        <v>76</v>
      </c>
      <c r="U230" t="s">
        <v>19</v>
      </c>
      <c r="V230">
        <v>5.7260273972602738</v>
      </c>
      <c r="W230" t="s">
        <v>28</v>
      </c>
    </row>
    <row r="231" spans="11:23" x14ac:dyDescent="0.25">
      <c r="K231" t="s">
        <v>73</v>
      </c>
      <c r="L231" t="s">
        <v>74</v>
      </c>
      <c r="M231" t="s">
        <v>75</v>
      </c>
      <c r="N231" t="s">
        <v>15</v>
      </c>
      <c r="O231" t="s">
        <v>50</v>
      </c>
      <c r="P231">
        <v>61214.26</v>
      </c>
      <c r="Q231" t="s">
        <v>26</v>
      </c>
      <c r="R231">
        <v>43171</v>
      </c>
      <c r="S231">
        <v>1</v>
      </c>
      <c r="T231" t="s">
        <v>76</v>
      </c>
      <c r="U231" t="s">
        <v>77</v>
      </c>
      <c r="V231">
        <v>6.2821917808219174</v>
      </c>
      <c r="W231" t="s">
        <v>20</v>
      </c>
    </row>
    <row r="232" spans="11:23" x14ac:dyDescent="0.25">
      <c r="K232" t="s">
        <v>255</v>
      </c>
      <c r="L232" t="s">
        <v>256</v>
      </c>
      <c r="M232" t="s">
        <v>257</v>
      </c>
      <c r="N232" t="s">
        <v>15</v>
      </c>
      <c r="O232" t="s">
        <v>16</v>
      </c>
      <c r="P232">
        <v>114465.93</v>
      </c>
      <c r="Q232" t="s">
        <v>17</v>
      </c>
      <c r="R232">
        <v>43291</v>
      </c>
      <c r="S232">
        <v>1</v>
      </c>
      <c r="T232" t="s">
        <v>76</v>
      </c>
      <c r="U232" t="s">
        <v>45</v>
      </c>
      <c r="V232">
        <v>5.9534246575342467</v>
      </c>
      <c r="W232" t="s">
        <v>20</v>
      </c>
    </row>
    <row r="233" spans="11:23" x14ac:dyDescent="0.25">
      <c r="K233" t="s">
        <v>442</v>
      </c>
      <c r="L233" t="s">
        <v>443</v>
      </c>
      <c r="M233" t="s">
        <v>444</v>
      </c>
      <c r="N233" t="s">
        <v>24</v>
      </c>
      <c r="O233" t="s">
        <v>131</v>
      </c>
      <c r="P233">
        <v>32496.880000000001</v>
      </c>
      <c r="Q233" t="s">
        <v>65</v>
      </c>
      <c r="R233">
        <v>43234</v>
      </c>
      <c r="S233">
        <v>1</v>
      </c>
      <c r="T233" t="s">
        <v>76</v>
      </c>
      <c r="U233" t="s">
        <v>19</v>
      </c>
      <c r="V233">
        <v>6.1095890410958908</v>
      </c>
      <c r="W233" t="s">
        <v>20</v>
      </c>
    </row>
    <row r="234" spans="11:23" x14ac:dyDescent="0.25">
      <c r="K234" t="s">
        <v>85</v>
      </c>
      <c r="L234" t="s">
        <v>86</v>
      </c>
      <c r="M234" t="s">
        <v>87</v>
      </c>
      <c r="N234" t="s">
        <v>15</v>
      </c>
      <c r="O234" t="s">
        <v>16</v>
      </c>
      <c r="P234">
        <v>39969.72</v>
      </c>
      <c r="Q234" t="s">
        <v>65</v>
      </c>
      <c r="R234">
        <v>43444</v>
      </c>
      <c r="S234">
        <v>1</v>
      </c>
      <c r="T234" t="s">
        <v>76</v>
      </c>
      <c r="U234" t="s">
        <v>72</v>
      </c>
      <c r="V234">
        <v>5.5342465753424657</v>
      </c>
      <c r="W234" t="s">
        <v>20</v>
      </c>
    </row>
    <row r="235" spans="11:23" x14ac:dyDescent="0.25">
      <c r="K235" t="s">
        <v>270</v>
      </c>
      <c r="L235" t="s">
        <v>271</v>
      </c>
      <c r="M235" t="s">
        <v>272</v>
      </c>
      <c r="N235" t="s">
        <v>15</v>
      </c>
      <c r="O235" t="s">
        <v>131</v>
      </c>
      <c r="P235">
        <v>28481.16</v>
      </c>
      <c r="Q235" t="s">
        <v>65</v>
      </c>
      <c r="R235">
        <v>44228</v>
      </c>
      <c r="S235">
        <v>1</v>
      </c>
      <c r="T235" t="s">
        <v>76</v>
      </c>
      <c r="U235" t="s">
        <v>84</v>
      </c>
      <c r="V235">
        <v>3.3863013698630136</v>
      </c>
      <c r="W235" t="s">
        <v>20</v>
      </c>
    </row>
    <row r="236" spans="11:23" x14ac:dyDescent="0.25">
      <c r="K236" t="s">
        <v>159</v>
      </c>
      <c r="L236" t="s">
        <v>160</v>
      </c>
      <c r="M236" t="s">
        <v>161</v>
      </c>
      <c r="N236" t="s">
        <v>15</v>
      </c>
      <c r="O236" t="s">
        <v>36</v>
      </c>
      <c r="P236">
        <v>114691.03</v>
      </c>
      <c r="Q236" t="s">
        <v>17</v>
      </c>
      <c r="R236">
        <v>44039</v>
      </c>
      <c r="S236">
        <v>1</v>
      </c>
      <c r="T236" t="s">
        <v>76</v>
      </c>
      <c r="U236" t="s">
        <v>45</v>
      </c>
      <c r="V236">
        <v>3.904109589041096</v>
      </c>
      <c r="W236" t="s">
        <v>20</v>
      </c>
    </row>
    <row r="237" spans="11:23" x14ac:dyDescent="0.25">
      <c r="K237" t="s">
        <v>584</v>
      </c>
      <c r="L237" t="s">
        <v>585</v>
      </c>
      <c r="M237" t="s">
        <v>586</v>
      </c>
      <c r="N237" t="s">
        <v>15</v>
      </c>
      <c r="O237" t="s">
        <v>16</v>
      </c>
      <c r="P237">
        <v>82239.53</v>
      </c>
      <c r="Q237" t="s">
        <v>26</v>
      </c>
      <c r="R237">
        <v>43846</v>
      </c>
      <c r="S237">
        <v>1</v>
      </c>
      <c r="T237" t="s">
        <v>76</v>
      </c>
      <c r="U237" t="s">
        <v>72</v>
      </c>
      <c r="V237">
        <v>4.4328767123287669</v>
      </c>
      <c r="W237" t="s">
        <v>20</v>
      </c>
    </row>
    <row r="238" spans="11:23" x14ac:dyDescent="0.25">
      <c r="K238" t="s">
        <v>261</v>
      </c>
      <c r="L238" t="s">
        <v>262</v>
      </c>
      <c r="M238" t="s">
        <v>263</v>
      </c>
      <c r="N238" t="s">
        <v>15</v>
      </c>
      <c r="O238" t="s">
        <v>105</v>
      </c>
      <c r="P238">
        <v>83191.95</v>
      </c>
      <c r="Q238" t="s">
        <v>26</v>
      </c>
      <c r="R238">
        <v>43700</v>
      </c>
      <c r="S238">
        <v>0.6</v>
      </c>
      <c r="T238" t="s">
        <v>76</v>
      </c>
      <c r="U238" t="s">
        <v>19</v>
      </c>
      <c r="V238">
        <v>4.8328767123287673</v>
      </c>
      <c r="W238" t="s">
        <v>28</v>
      </c>
    </row>
    <row r="239" spans="11:23" x14ac:dyDescent="0.25">
      <c r="K239" t="s">
        <v>243</v>
      </c>
      <c r="L239" t="s">
        <v>244</v>
      </c>
      <c r="M239" t="s">
        <v>245</v>
      </c>
      <c r="N239" t="s">
        <v>15</v>
      </c>
      <c r="O239" t="s">
        <v>131</v>
      </c>
      <c r="P239">
        <v>113747.56</v>
      </c>
      <c r="Q239" t="s">
        <v>17</v>
      </c>
      <c r="R239">
        <v>44270</v>
      </c>
      <c r="S239">
        <v>0.7</v>
      </c>
      <c r="T239" t="s">
        <v>76</v>
      </c>
      <c r="U239" t="s">
        <v>72</v>
      </c>
      <c r="V239">
        <v>3.2712328767123289</v>
      </c>
      <c r="W239" t="s">
        <v>28</v>
      </c>
    </row>
    <row r="240" spans="11:23" x14ac:dyDescent="0.25">
      <c r="K240" t="s">
        <v>243</v>
      </c>
      <c r="L240" t="s">
        <v>244</v>
      </c>
      <c r="M240" t="s">
        <v>245</v>
      </c>
      <c r="N240" t="s">
        <v>15</v>
      </c>
      <c r="O240" t="s">
        <v>131</v>
      </c>
      <c r="P240">
        <v>113747.56</v>
      </c>
      <c r="Q240" t="s">
        <v>17</v>
      </c>
      <c r="R240">
        <v>44270</v>
      </c>
      <c r="S240">
        <v>0.7</v>
      </c>
      <c r="T240" t="s">
        <v>76</v>
      </c>
      <c r="U240" t="s">
        <v>72</v>
      </c>
      <c r="V240">
        <v>3.2712328767123289</v>
      </c>
      <c r="W240" t="s">
        <v>28</v>
      </c>
    </row>
    <row r="241" spans="11:23" x14ac:dyDescent="0.25">
      <c r="K241" t="s">
        <v>354</v>
      </c>
      <c r="L241" t="s">
        <v>355</v>
      </c>
      <c r="M241" t="s">
        <v>356</v>
      </c>
      <c r="N241" t="s">
        <v>15</v>
      </c>
      <c r="O241" t="s">
        <v>50</v>
      </c>
      <c r="P241">
        <v>37062.1</v>
      </c>
      <c r="Q241" t="s">
        <v>65</v>
      </c>
      <c r="R241">
        <v>44357</v>
      </c>
      <c r="S241">
        <v>1</v>
      </c>
      <c r="T241" t="s">
        <v>76</v>
      </c>
      <c r="U241" t="s">
        <v>84</v>
      </c>
      <c r="V241">
        <v>3.032876712328767</v>
      </c>
      <c r="W241" t="s">
        <v>20</v>
      </c>
    </row>
    <row r="242" spans="11:23" x14ac:dyDescent="0.25">
      <c r="K242" t="s">
        <v>138</v>
      </c>
      <c r="L242" t="s">
        <v>139</v>
      </c>
      <c r="M242" t="s">
        <v>140</v>
      </c>
      <c r="N242" t="s">
        <v>15</v>
      </c>
      <c r="O242" t="s">
        <v>25</v>
      </c>
      <c r="P242">
        <v>73360.38</v>
      </c>
      <c r="Q242" t="s">
        <v>26</v>
      </c>
      <c r="R242">
        <v>43972</v>
      </c>
      <c r="S242">
        <v>1</v>
      </c>
      <c r="T242" t="s">
        <v>76</v>
      </c>
      <c r="U242" t="s">
        <v>19</v>
      </c>
      <c r="V242">
        <v>4.087671232876712</v>
      </c>
      <c r="W242" t="s">
        <v>20</v>
      </c>
    </row>
    <row r="243" spans="11:23" x14ac:dyDescent="0.25">
      <c r="K243" t="s">
        <v>138</v>
      </c>
      <c r="L243" t="s">
        <v>139</v>
      </c>
      <c r="M243" t="s">
        <v>140</v>
      </c>
      <c r="N243" t="s">
        <v>15</v>
      </c>
      <c r="O243" t="s">
        <v>25</v>
      </c>
      <c r="P243">
        <v>73360.38</v>
      </c>
      <c r="Q243" t="s">
        <v>26</v>
      </c>
      <c r="R243">
        <v>43972</v>
      </c>
      <c r="S243">
        <v>1</v>
      </c>
      <c r="T243" t="s">
        <v>76</v>
      </c>
      <c r="U243" t="s">
        <v>19</v>
      </c>
      <c r="V243">
        <v>4.087671232876712</v>
      </c>
      <c r="W243" t="s">
        <v>20</v>
      </c>
    </row>
    <row r="244" spans="11:23" x14ac:dyDescent="0.25">
      <c r="K244" t="s">
        <v>481</v>
      </c>
      <c r="L244" t="s">
        <v>482</v>
      </c>
      <c r="M244" t="s">
        <v>483</v>
      </c>
      <c r="N244" t="s">
        <v>15</v>
      </c>
      <c r="O244" t="s">
        <v>16</v>
      </c>
      <c r="P244">
        <v>36536.26</v>
      </c>
      <c r="Q244" t="s">
        <v>65</v>
      </c>
      <c r="R244">
        <v>44358</v>
      </c>
      <c r="S244">
        <v>1</v>
      </c>
      <c r="T244" t="s">
        <v>76</v>
      </c>
      <c r="U244" t="s">
        <v>41</v>
      </c>
      <c r="V244">
        <v>3.0301369863013701</v>
      </c>
      <c r="W244" t="s">
        <v>20</v>
      </c>
    </row>
    <row r="245" spans="11:23" x14ac:dyDescent="0.25">
      <c r="K245" t="s">
        <v>380</v>
      </c>
      <c r="L245" t="s">
        <v>381</v>
      </c>
      <c r="M245" t="s">
        <v>382</v>
      </c>
      <c r="N245" t="s">
        <v>24</v>
      </c>
      <c r="O245" t="s">
        <v>124</v>
      </c>
      <c r="P245">
        <v>89829.33</v>
      </c>
      <c r="Q245" t="s">
        <v>26</v>
      </c>
      <c r="R245">
        <v>43794</v>
      </c>
      <c r="S245">
        <v>1</v>
      </c>
      <c r="T245" t="s">
        <v>76</v>
      </c>
      <c r="U245" t="s">
        <v>84</v>
      </c>
      <c r="V245">
        <v>4.5753424657534243</v>
      </c>
      <c r="W245" t="s">
        <v>20</v>
      </c>
    </row>
    <row r="246" spans="11:23" x14ac:dyDescent="0.25">
      <c r="K246" t="s">
        <v>454</v>
      </c>
      <c r="L246" t="s">
        <v>455</v>
      </c>
      <c r="M246" t="s">
        <v>456</v>
      </c>
      <c r="N246" t="s">
        <v>49</v>
      </c>
      <c r="O246" t="s">
        <v>131</v>
      </c>
      <c r="P246">
        <v>63447.07</v>
      </c>
      <c r="Q246" t="s">
        <v>26</v>
      </c>
      <c r="R246">
        <v>44148</v>
      </c>
      <c r="S246">
        <v>1</v>
      </c>
      <c r="T246" t="s">
        <v>76</v>
      </c>
      <c r="U246" t="s">
        <v>45</v>
      </c>
      <c r="V246">
        <v>3.6054794520547944</v>
      </c>
      <c r="W246" t="s">
        <v>20</v>
      </c>
    </row>
    <row r="247" spans="11:23" x14ac:dyDescent="0.25">
      <c r="K247" t="s">
        <v>701</v>
      </c>
      <c r="L247" t="s">
        <v>702</v>
      </c>
      <c r="M247" t="s">
        <v>703</v>
      </c>
      <c r="N247" t="s">
        <v>15</v>
      </c>
      <c r="O247" t="s">
        <v>105</v>
      </c>
      <c r="P247">
        <v>80772.92</v>
      </c>
      <c r="Q247" t="s">
        <v>26</v>
      </c>
      <c r="R247">
        <v>44137</v>
      </c>
      <c r="S247">
        <v>1</v>
      </c>
      <c r="T247" t="s">
        <v>76</v>
      </c>
      <c r="U247" t="s">
        <v>19</v>
      </c>
      <c r="V247">
        <v>3.6356164383561644</v>
      </c>
      <c r="W247" t="s">
        <v>20</v>
      </c>
    </row>
    <row r="248" spans="11:23" x14ac:dyDescent="0.25">
      <c r="K248" t="s">
        <v>125</v>
      </c>
      <c r="L248" t="s">
        <v>126</v>
      </c>
      <c r="M248" t="s">
        <v>127</v>
      </c>
      <c r="N248" t="s">
        <v>15</v>
      </c>
      <c r="O248" t="s">
        <v>101</v>
      </c>
      <c r="P248">
        <v>52246.29</v>
      </c>
      <c r="Q248" t="s">
        <v>26</v>
      </c>
      <c r="R248">
        <v>43573</v>
      </c>
      <c r="S248">
        <v>1</v>
      </c>
      <c r="T248" t="s">
        <v>76</v>
      </c>
      <c r="U248" t="s">
        <v>45</v>
      </c>
      <c r="V248">
        <v>5.1808219178082195</v>
      </c>
      <c r="W248" t="s">
        <v>20</v>
      </c>
    </row>
    <row r="249" spans="11:23" x14ac:dyDescent="0.25">
      <c r="K249" t="s">
        <v>171</v>
      </c>
      <c r="L249" t="s">
        <v>172</v>
      </c>
      <c r="M249" t="s">
        <v>173</v>
      </c>
      <c r="N249" t="s">
        <v>24</v>
      </c>
      <c r="O249" t="s">
        <v>50</v>
      </c>
      <c r="P249">
        <v>58935.92</v>
      </c>
      <c r="Q249" t="s">
        <v>26</v>
      </c>
      <c r="R249">
        <v>43717</v>
      </c>
      <c r="S249">
        <v>1</v>
      </c>
      <c r="T249" t="s">
        <v>76</v>
      </c>
      <c r="U249" t="s">
        <v>41</v>
      </c>
      <c r="V249">
        <v>4.7863013698630139</v>
      </c>
      <c r="W249" t="s">
        <v>20</v>
      </c>
    </row>
    <row r="250" spans="11:23" x14ac:dyDescent="0.25">
      <c r="K250" t="s">
        <v>267</v>
      </c>
      <c r="L250" t="s">
        <v>268</v>
      </c>
      <c r="M250" t="s">
        <v>269</v>
      </c>
      <c r="N250" t="s">
        <v>15</v>
      </c>
      <c r="O250" t="s">
        <v>97</v>
      </c>
      <c r="P250">
        <v>83396.5</v>
      </c>
      <c r="Q250" t="s">
        <v>26</v>
      </c>
      <c r="R250">
        <v>44285</v>
      </c>
      <c r="S250">
        <v>1</v>
      </c>
      <c r="T250" t="s">
        <v>76</v>
      </c>
      <c r="U250" t="s">
        <v>77</v>
      </c>
      <c r="V250">
        <v>3.2301369863013698</v>
      </c>
      <c r="W250" t="s">
        <v>20</v>
      </c>
    </row>
    <row r="251" spans="11:23" x14ac:dyDescent="0.25">
      <c r="K251" t="s">
        <v>374</v>
      </c>
      <c r="L251" t="s">
        <v>375</v>
      </c>
      <c r="M251" t="s">
        <v>376</v>
      </c>
      <c r="N251" t="s">
        <v>15</v>
      </c>
      <c r="O251" t="s">
        <v>32</v>
      </c>
      <c r="P251">
        <v>111815.49</v>
      </c>
      <c r="Q251" t="s">
        <v>17</v>
      </c>
      <c r="R251">
        <v>43895</v>
      </c>
      <c r="S251">
        <v>0.7</v>
      </c>
      <c r="T251" t="s">
        <v>76</v>
      </c>
      <c r="U251" t="s">
        <v>19</v>
      </c>
      <c r="V251">
        <v>4.2986301369863016</v>
      </c>
      <c r="W251" t="s">
        <v>28</v>
      </c>
    </row>
    <row r="252" spans="11:23" x14ac:dyDescent="0.25">
      <c r="K252" t="s">
        <v>374</v>
      </c>
      <c r="L252" t="s">
        <v>375</v>
      </c>
      <c r="M252" t="s">
        <v>376</v>
      </c>
      <c r="N252" t="s">
        <v>15</v>
      </c>
      <c r="O252" t="s">
        <v>32</v>
      </c>
      <c r="P252">
        <v>111815.49</v>
      </c>
      <c r="Q252" t="s">
        <v>17</v>
      </c>
      <c r="R252">
        <v>43895</v>
      </c>
      <c r="S252">
        <v>0.7</v>
      </c>
      <c r="T252" t="s">
        <v>76</v>
      </c>
      <c r="U252" t="s">
        <v>19</v>
      </c>
      <c r="V252">
        <v>4.2986301369863016</v>
      </c>
      <c r="W252" t="s">
        <v>28</v>
      </c>
    </row>
    <row r="253" spans="11:23" x14ac:dyDescent="0.25">
      <c r="K253" t="s">
        <v>201</v>
      </c>
      <c r="L253" t="s">
        <v>202</v>
      </c>
      <c r="M253" t="s">
        <v>203</v>
      </c>
      <c r="N253" t="s">
        <v>24</v>
      </c>
      <c r="O253" t="s">
        <v>36</v>
      </c>
      <c r="P253">
        <v>116767.63</v>
      </c>
      <c r="Q253" t="s">
        <v>17</v>
      </c>
      <c r="R253">
        <v>43949</v>
      </c>
      <c r="S253">
        <v>0.4</v>
      </c>
      <c r="T253" t="s">
        <v>76</v>
      </c>
      <c r="U253" t="s">
        <v>84</v>
      </c>
      <c r="V253">
        <v>4.1506849315068495</v>
      </c>
      <c r="W253" t="s">
        <v>28</v>
      </c>
    </row>
    <row r="254" spans="11:23" x14ac:dyDescent="0.25">
      <c r="K254" t="s">
        <v>201</v>
      </c>
      <c r="L254" t="s">
        <v>619</v>
      </c>
      <c r="M254" t="s">
        <v>620</v>
      </c>
      <c r="N254" t="s">
        <v>24</v>
      </c>
      <c r="O254" t="s">
        <v>36</v>
      </c>
      <c r="P254">
        <v>116767.63</v>
      </c>
      <c r="Q254" t="s">
        <v>17</v>
      </c>
      <c r="R254">
        <v>43949</v>
      </c>
      <c r="S254">
        <v>0.4</v>
      </c>
      <c r="T254" t="s">
        <v>76</v>
      </c>
      <c r="U254" t="s">
        <v>84</v>
      </c>
      <c r="V254">
        <v>4.1506849315068495</v>
      </c>
      <c r="W254" t="s">
        <v>28</v>
      </c>
    </row>
    <row r="255" spans="11:23" x14ac:dyDescent="0.25">
      <c r="K255" t="s">
        <v>112</v>
      </c>
      <c r="L255" t="s">
        <v>113</v>
      </c>
      <c r="M255" t="s">
        <v>114</v>
      </c>
      <c r="N255" t="s">
        <v>49</v>
      </c>
      <c r="O255" t="s">
        <v>36</v>
      </c>
      <c r="P255">
        <v>78840.23</v>
      </c>
      <c r="Q255" t="s">
        <v>26</v>
      </c>
      <c r="R255">
        <v>43633</v>
      </c>
      <c r="S255">
        <v>1</v>
      </c>
      <c r="T255" t="s">
        <v>76</v>
      </c>
      <c r="U255" t="s">
        <v>19</v>
      </c>
      <c r="V255">
        <v>5.0164383561643833</v>
      </c>
      <c r="W255" t="s">
        <v>20</v>
      </c>
    </row>
    <row r="256" spans="11:23" x14ac:dyDescent="0.25">
      <c r="K256" t="s">
        <v>602</v>
      </c>
      <c r="L256" t="s">
        <v>603</v>
      </c>
      <c r="M256" t="s">
        <v>604</v>
      </c>
      <c r="N256" t="s">
        <v>15</v>
      </c>
      <c r="O256" t="s">
        <v>101</v>
      </c>
      <c r="P256">
        <v>38825.18</v>
      </c>
      <c r="Q256" t="s">
        <v>65</v>
      </c>
      <c r="R256">
        <v>43696</v>
      </c>
      <c r="S256">
        <v>1</v>
      </c>
      <c r="T256" t="s">
        <v>76</v>
      </c>
      <c r="U256" t="s">
        <v>19</v>
      </c>
      <c r="V256">
        <v>4.8438356164383558</v>
      </c>
      <c r="W256" t="s">
        <v>20</v>
      </c>
    </row>
    <row r="257" spans="11:23" x14ac:dyDescent="0.25">
      <c r="K257" t="s">
        <v>651</v>
      </c>
      <c r="L257" t="s">
        <v>652</v>
      </c>
      <c r="M257" t="s">
        <v>653</v>
      </c>
      <c r="N257" t="s">
        <v>15</v>
      </c>
      <c r="O257" t="s">
        <v>25</v>
      </c>
      <c r="P257">
        <v>106400.02</v>
      </c>
      <c r="Q257" t="s">
        <v>17</v>
      </c>
      <c r="R257">
        <v>44021</v>
      </c>
      <c r="S257">
        <v>1</v>
      </c>
      <c r="T257" t="s">
        <v>76</v>
      </c>
      <c r="U257" t="s">
        <v>84</v>
      </c>
      <c r="V257">
        <v>3.9534246575342467</v>
      </c>
      <c r="W257" t="s">
        <v>20</v>
      </c>
    </row>
    <row r="258" spans="11:23" x14ac:dyDescent="0.25">
      <c r="K258" t="s">
        <v>651</v>
      </c>
      <c r="L258" t="s">
        <v>675</v>
      </c>
      <c r="M258" t="s">
        <v>676</v>
      </c>
      <c r="N258" t="s">
        <v>15</v>
      </c>
      <c r="O258" t="s">
        <v>25</v>
      </c>
      <c r="P258">
        <v>106400.02</v>
      </c>
      <c r="Q258" t="s">
        <v>17</v>
      </c>
      <c r="R258">
        <v>44021</v>
      </c>
      <c r="S258">
        <v>1</v>
      </c>
      <c r="T258" t="s">
        <v>76</v>
      </c>
      <c r="U258" t="s">
        <v>84</v>
      </c>
      <c r="V258">
        <v>3.9534246575342467</v>
      </c>
      <c r="W258" t="s">
        <v>20</v>
      </c>
    </row>
    <row r="259" spans="11:23" x14ac:dyDescent="0.25">
      <c r="K259" t="s">
        <v>522</v>
      </c>
      <c r="L259" t="s">
        <v>523</v>
      </c>
      <c r="M259" t="s">
        <v>524</v>
      </c>
      <c r="N259" t="s">
        <v>15</v>
      </c>
      <c r="O259" t="s">
        <v>58</v>
      </c>
      <c r="P259">
        <v>28160.79</v>
      </c>
      <c r="Q259" t="s">
        <v>65</v>
      </c>
      <c r="R259">
        <v>43129</v>
      </c>
      <c r="S259">
        <v>1</v>
      </c>
      <c r="T259" t="s">
        <v>76</v>
      </c>
      <c r="U259" t="s">
        <v>19</v>
      </c>
      <c r="V259">
        <v>6.397260273972603</v>
      </c>
      <c r="W259" t="s">
        <v>20</v>
      </c>
    </row>
    <row r="260" spans="11:23" x14ac:dyDescent="0.25">
      <c r="K260" t="s">
        <v>536</v>
      </c>
      <c r="L260" t="s">
        <v>537</v>
      </c>
      <c r="M260" t="s">
        <v>538</v>
      </c>
      <c r="N260" t="s">
        <v>24</v>
      </c>
      <c r="O260" t="s">
        <v>36</v>
      </c>
      <c r="P260">
        <v>58744.17</v>
      </c>
      <c r="Q260" t="s">
        <v>26</v>
      </c>
      <c r="R260">
        <v>43171</v>
      </c>
      <c r="S260">
        <v>1</v>
      </c>
      <c r="T260" t="s">
        <v>76</v>
      </c>
      <c r="U260" t="s">
        <v>72</v>
      </c>
      <c r="V260">
        <v>6.2821917808219174</v>
      </c>
      <c r="W260" t="s">
        <v>20</v>
      </c>
    </row>
    <row r="261" spans="11:23" x14ac:dyDescent="0.25">
      <c r="K261" t="s">
        <v>528</v>
      </c>
      <c r="L261" t="s">
        <v>529</v>
      </c>
      <c r="M261" t="s">
        <v>530</v>
      </c>
      <c r="N261" t="s">
        <v>24</v>
      </c>
      <c r="O261" t="s">
        <v>54</v>
      </c>
      <c r="P261">
        <v>70755.5</v>
      </c>
      <c r="Q261" t="s">
        <v>26</v>
      </c>
      <c r="R261">
        <v>44090</v>
      </c>
      <c r="S261">
        <v>0.8</v>
      </c>
      <c r="T261" t="s">
        <v>76</v>
      </c>
      <c r="U261" t="s">
        <v>41</v>
      </c>
      <c r="V261">
        <v>3.7643835616438355</v>
      </c>
      <c r="W261" t="s">
        <v>28</v>
      </c>
    </row>
    <row r="262" spans="11:23" x14ac:dyDescent="0.25">
      <c r="K262" t="s">
        <v>457</v>
      </c>
      <c r="L262" t="s">
        <v>458</v>
      </c>
      <c r="M262" t="s">
        <v>459</v>
      </c>
      <c r="N262" t="s">
        <v>24</v>
      </c>
      <c r="O262" t="s">
        <v>124</v>
      </c>
      <c r="P262">
        <v>106665.67</v>
      </c>
      <c r="Q262" t="s">
        <v>17</v>
      </c>
      <c r="R262">
        <v>43311</v>
      </c>
      <c r="S262">
        <v>1</v>
      </c>
      <c r="T262" t="s">
        <v>76</v>
      </c>
      <c r="U262" t="s">
        <v>72</v>
      </c>
      <c r="V262">
        <v>5.8986301369863012</v>
      </c>
      <c r="W262" t="s">
        <v>20</v>
      </c>
    </row>
    <row r="263" spans="11:23" x14ac:dyDescent="0.25">
      <c r="K263" t="s">
        <v>135</v>
      </c>
      <c r="L263" t="s">
        <v>136</v>
      </c>
      <c r="M263" t="s">
        <v>137</v>
      </c>
      <c r="N263" t="s">
        <v>15</v>
      </c>
      <c r="O263" t="s">
        <v>97</v>
      </c>
      <c r="P263">
        <v>76320.44</v>
      </c>
      <c r="Q263" t="s">
        <v>26</v>
      </c>
      <c r="R263">
        <v>44383</v>
      </c>
      <c r="S263">
        <v>0.8</v>
      </c>
      <c r="T263" t="s">
        <v>76</v>
      </c>
      <c r="U263" t="s">
        <v>19</v>
      </c>
      <c r="V263">
        <v>2.9616438356164383</v>
      </c>
      <c r="W263" t="s">
        <v>28</v>
      </c>
    </row>
    <row r="264" spans="11:23" x14ac:dyDescent="0.25">
      <c r="K264" t="s">
        <v>150</v>
      </c>
      <c r="L264" t="s">
        <v>151</v>
      </c>
      <c r="M264" t="s">
        <v>152</v>
      </c>
      <c r="N264" t="s">
        <v>24</v>
      </c>
      <c r="O264" t="s">
        <v>124</v>
      </c>
      <c r="P264">
        <v>110906.35</v>
      </c>
      <c r="Q264" t="s">
        <v>17</v>
      </c>
      <c r="R264">
        <v>43434</v>
      </c>
      <c r="S264">
        <v>1</v>
      </c>
      <c r="T264" t="s">
        <v>76</v>
      </c>
      <c r="U264" t="s">
        <v>45</v>
      </c>
      <c r="V264">
        <v>5.5616438356164384</v>
      </c>
      <c r="W264" t="s">
        <v>20</v>
      </c>
    </row>
    <row r="265" spans="11:23" x14ac:dyDescent="0.25">
      <c r="K265" t="s">
        <v>725</v>
      </c>
      <c r="L265" t="s">
        <v>726</v>
      </c>
      <c r="M265" t="s">
        <v>727</v>
      </c>
      <c r="N265" t="s">
        <v>24</v>
      </c>
      <c r="O265" t="s">
        <v>97</v>
      </c>
      <c r="P265">
        <v>29808.07</v>
      </c>
      <c r="Q265" t="s">
        <v>65</v>
      </c>
      <c r="R265">
        <v>43291</v>
      </c>
      <c r="S265">
        <v>0.3</v>
      </c>
      <c r="T265" t="s">
        <v>76</v>
      </c>
      <c r="U265" t="s">
        <v>41</v>
      </c>
      <c r="V265">
        <v>5.9534246575342467</v>
      </c>
      <c r="W265" t="s">
        <v>28</v>
      </c>
    </row>
    <row r="266" spans="11:23" x14ac:dyDescent="0.25">
      <c r="K266" t="s">
        <v>306</v>
      </c>
      <c r="L266" t="s">
        <v>307</v>
      </c>
      <c r="M266" t="s">
        <v>308</v>
      </c>
      <c r="N266" t="s">
        <v>15</v>
      </c>
      <c r="O266" t="s">
        <v>16</v>
      </c>
      <c r="P266">
        <v>47362.62</v>
      </c>
      <c r="Q266" t="s">
        <v>65</v>
      </c>
      <c r="R266">
        <v>43973</v>
      </c>
      <c r="S266">
        <v>1</v>
      </c>
      <c r="T266" t="s">
        <v>76</v>
      </c>
      <c r="U266" t="s">
        <v>19</v>
      </c>
      <c r="V266">
        <v>4.0849315068493155</v>
      </c>
      <c r="W266" t="s">
        <v>20</v>
      </c>
    </row>
  </sheetData>
  <mergeCells count="3">
    <mergeCell ref="B2:C2"/>
    <mergeCell ref="B4:D4"/>
    <mergeCell ref="Z7:A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F347-FFF5-4303-A8ED-5E88455873C2}">
  <sheetPr>
    <tabColor theme="4" tint="-0.249977111117893"/>
  </sheetPr>
  <dimension ref="A1:AY319"/>
  <sheetViews>
    <sheetView topLeftCell="Q3" zoomScale="82" workbookViewId="0">
      <selection activeCell="T14" sqref="T14"/>
    </sheetView>
  </sheetViews>
  <sheetFormatPr defaultRowHeight="15" x14ac:dyDescent="0.25"/>
  <cols>
    <col min="1" max="1" width="13.85546875" bestFit="1" customWidth="1"/>
    <col min="2" max="2" width="7.85546875" bestFit="1" customWidth="1"/>
    <col min="3" max="3" width="11.5703125" bestFit="1" customWidth="1"/>
    <col min="4" max="4" width="11.28515625" bestFit="1" customWidth="1"/>
    <col min="5" max="5" width="40.7109375" customWidth="1"/>
    <col min="6" max="6" width="17.42578125" customWidth="1"/>
    <col min="7" max="7" width="17.5703125" customWidth="1"/>
    <col min="8" max="8" width="18" bestFit="1" customWidth="1"/>
    <col min="9" max="9" width="13.42578125" bestFit="1" customWidth="1"/>
    <col min="10" max="10" width="6.140625" bestFit="1" customWidth="1"/>
    <col min="11" max="11" width="18.5703125" bestFit="1" customWidth="1"/>
    <col min="12" max="12" width="17.5703125" bestFit="1" customWidth="1"/>
    <col min="13" max="13" width="9.85546875" bestFit="1" customWidth="1"/>
    <col min="14" max="14" width="13.5703125" bestFit="1" customWidth="1"/>
    <col min="17" max="17" width="17.42578125" customWidth="1"/>
    <col min="18" max="18" width="14.85546875" customWidth="1"/>
    <col min="19" max="20" width="13.28515625" bestFit="1" customWidth="1"/>
    <col min="26" max="26" width="13.85546875" bestFit="1" customWidth="1"/>
    <col min="27" max="27" width="14.85546875" bestFit="1" customWidth="1"/>
    <col min="28" max="28" width="13.7109375" bestFit="1" customWidth="1"/>
    <col min="29" max="29" width="25.85546875" bestFit="1" customWidth="1"/>
    <col min="30" max="30" width="10" bestFit="1" customWidth="1"/>
    <col min="31" max="31" width="12.7109375" bestFit="1" customWidth="1"/>
    <col min="32" max="32" width="9.7109375" bestFit="1" customWidth="1"/>
    <col min="33" max="33" width="4" bestFit="1" customWidth="1"/>
    <col min="34" max="34" width="14.42578125" bestFit="1" customWidth="1"/>
    <col min="35" max="35" width="23.85546875" bestFit="1" customWidth="1"/>
    <col min="36" max="36" width="12" bestFit="1" customWidth="1"/>
    <col min="37" max="37" width="10.42578125" bestFit="1" customWidth="1"/>
    <col min="40" max="40" width="10.140625" bestFit="1" customWidth="1"/>
    <col min="57" max="57" width="23.5703125" bestFit="1" customWidth="1"/>
  </cols>
  <sheetData>
    <row r="1" spans="1:51" x14ac:dyDescent="0.25">
      <c r="A1" s="13" t="s">
        <v>742</v>
      </c>
      <c r="B1" s="13"/>
      <c r="E1" s="15" t="s">
        <v>743</v>
      </c>
    </row>
    <row r="5" spans="1:51" x14ac:dyDescent="0.25">
      <c r="B5" s="38" t="str" cm="1">
        <f t="array" ref="B5:N5">staff[#Headers]</f>
        <v>Emp ID</v>
      </c>
      <c r="C5" s="38" t="str">
        <v>First Name</v>
      </c>
      <c r="D5" s="38" t="str">
        <v>Last Name</v>
      </c>
      <c r="E5" s="38" t="str">
        <v>Gender</v>
      </c>
      <c r="F5" s="38" t="str">
        <v>Department</v>
      </c>
      <c r="G5" s="52" t="str">
        <v>Salary</v>
      </c>
      <c r="H5" s="38" t="str">
        <v>Salary Bucket</v>
      </c>
      <c r="I5" s="38" t="str">
        <v>Start Date</v>
      </c>
      <c r="J5" s="38" t="str">
        <v>FTE</v>
      </c>
      <c r="K5" s="38" t="str">
        <v>Employee type</v>
      </c>
      <c r="L5" s="38" t="str">
        <v>Work location</v>
      </c>
      <c r="M5" s="38" t="str">
        <v>Tenure</v>
      </c>
      <c r="N5" s="38" t="str">
        <v>Work Type</v>
      </c>
      <c r="Z5" s="37" t="s">
        <v>1</v>
      </c>
      <c r="AA5" s="37" t="s">
        <v>2</v>
      </c>
      <c r="AB5" s="37" t="s">
        <v>3</v>
      </c>
      <c r="AC5" s="37" t="s">
        <v>4</v>
      </c>
      <c r="AD5" s="37" t="s">
        <v>5</v>
      </c>
      <c r="AE5" s="37" t="s">
        <v>6</v>
      </c>
      <c r="AF5" s="37" t="s">
        <v>7</v>
      </c>
      <c r="AG5" s="37" t="s">
        <v>8</v>
      </c>
      <c r="AH5" s="37" t="s">
        <v>9</v>
      </c>
      <c r="AI5" s="37" t="s">
        <v>10</v>
      </c>
      <c r="AJ5" s="37" t="s">
        <v>738</v>
      </c>
      <c r="AK5" s="37" t="s">
        <v>11</v>
      </c>
    </row>
    <row r="6" spans="1:51" ht="18.75" x14ac:dyDescent="0.25">
      <c r="B6" t="str" cm="1">
        <f t="array" ref="B6:N52">_xlfn._xlws.FILTER(staff[],staff[Salary]&gt;100000)</f>
        <v>PR00147</v>
      </c>
      <c r="C6" t="str">
        <v>Minerva</v>
      </c>
      <c r="D6" t="str">
        <v>Ricardot</v>
      </c>
      <c r="E6" t="str">
        <v>Male</v>
      </c>
      <c r="F6" t="str">
        <v>Engineering</v>
      </c>
      <c r="G6" s="33">
        <v>120000</v>
      </c>
      <c r="H6" t="str">
        <v>Above 100k</v>
      </c>
      <c r="I6" s="39">
        <v>43416</v>
      </c>
      <c r="J6">
        <v>1</v>
      </c>
      <c r="K6" t="str">
        <v>Permanent</v>
      </c>
      <c r="L6" t="str">
        <v>Remote</v>
      </c>
      <c r="M6">
        <v>5.6109589041095891</v>
      </c>
      <c r="N6" t="str">
        <v>Full time</v>
      </c>
      <c r="S6" cm="1">
        <f t="array" ref="S6">COLUMN(G5:G52)</f>
        <v>7</v>
      </c>
      <c r="Z6" s="29" t="s">
        <v>628</v>
      </c>
      <c r="AA6" s="29" t="s">
        <v>629</v>
      </c>
      <c r="AB6" s="29" t="s">
        <v>24</v>
      </c>
      <c r="AC6" s="29" t="s">
        <v>36</v>
      </c>
      <c r="AD6" s="29">
        <v>96135.75</v>
      </c>
      <c r="AE6" s="29" t="s">
        <v>26</v>
      </c>
      <c r="AF6" s="29">
        <v>44025</v>
      </c>
      <c r="AG6" s="29">
        <v>0.3</v>
      </c>
      <c r="AH6" s="29" t="s">
        <v>18</v>
      </c>
      <c r="AI6" s="29" t="s">
        <v>45</v>
      </c>
      <c r="AJ6" s="29">
        <v>3.9424657534246577</v>
      </c>
      <c r="AK6" s="29" t="s">
        <v>28</v>
      </c>
      <c r="AP6" s="66" t="s">
        <v>779</v>
      </c>
      <c r="AQ6" s="66"/>
      <c r="AR6" s="66"/>
      <c r="AS6" s="66"/>
      <c r="AT6" s="66"/>
      <c r="AU6" s="66"/>
      <c r="AV6" s="66"/>
      <c r="AW6" s="66"/>
      <c r="AX6" s="66"/>
    </row>
    <row r="7" spans="1:51" x14ac:dyDescent="0.25">
      <c r="B7" t="str">
        <v>SQ04612</v>
      </c>
      <c r="C7" t="str">
        <v>Mick</v>
      </c>
      <c r="D7" t="str">
        <v>Spraberry</v>
      </c>
      <c r="E7" t="str">
        <v>Female</v>
      </c>
      <c r="F7" t="str">
        <v>Services</v>
      </c>
      <c r="G7" s="33">
        <v>120000</v>
      </c>
      <c r="H7" t="str">
        <v>Above 100k</v>
      </c>
      <c r="I7" s="39">
        <v>43902</v>
      </c>
      <c r="J7">
        <v>0.9</v>
      </c>
      <c r="K7" t="str">
        <v>Permanent</v>
      </c>
      <c r="L7" t="str">
        <v>Remote</v>
      </c>
      <c r="M7">
        <v>4.279452054794521</v>
      </c>
      <c r="N7" t="str">
        <v>Part time</v>
      </c>
      <c r="Q7" s="64" t="s">
        <v>797</v>
      </c>
      <c r="R7" s="64"/>
      <c r="V7" cm="1">
        <f t="array" ref="V7:V16">_xlfn.SEQUENCE(10)</f>
        <v>1</v>
      </c>
      <c r="Z7" s="29" t="s">
        <v>310</v>
      </c>
      <c r="AA7" s="29" t="s">
        <v>311</v>
      </c>
      <c r="AB7" s="29" t="s">
        <v>24</v>
      </c>
      <c r="AC7" s="29" t="s">
        <v>25</v>
      </c>
      <c r="AD7" s="29">
        <v>70649.460000000006</v>
      </c>
      <c r="AE7" s="29" t="s">
        <v>26</v>
      </c>
      <c r="AF7" s="29">
        <v>43843</v>
      </c>
      <c r="AG7" s="29">
        <v>1</v>
      </c>
      <c r="AH7" s="29" t="s">
        <v>18</v>
      </c>
      <c r="AI7" s="29" t="s">
        <v>41</v>
      </c>
      <c r="AJ7" s="29">
        <v>4.441095890410959</v>
      </c>
      <c r="AK7" s="29" t="s">
        <v>20</v>
      </c>
    </row>
    <row r="8" spans="1:51" x14ac:dyDescent="0.25">
      <c r="B8" t="str">
        <v>PR03886</v>
      </c>
      <c r="C8" t="str">
        <v>Edd</v>
      </c>
      <c r="D8" t="str">
        <v>MacKnockiter</v>
      </c>
      <c r="E8" t="str">
        <v>Male</v>
      </c>
      <c r="F8" t="str">
        <v>Accounting</v>
      </c>
      <c r="G8" s="33">
        <v>119022.49</v>
      </c>
      <c r="H8" t="str">
        <v>Above 100k</v>
      </c>
      <c r="I8" s="39">
        <v>44431</v>
      </c>
      <c r="J8">
        <v>1</v>
      </c>
      <c r="K8" t="str">
        <v>Permanent</v>
      </c>
      <c r="L8" t="str">
        <v>Auckland, New Zealand</v>
      </c>
      <c r="M8">
        <v>2.8301369863013699</v>
      </c>
      <c r="N8" t="str">
        <v>Full time</v>
      </c>
      <c r="V8">
        <v>2</v>
      </c>
      <c r="Z8" s="29" t="s">
        <v>283</v>
      </c>
      <c r="AA8" s="29" t="s">
        <v>284</v>
      </c>
      <c r="AB8" s="29" t="s">
        <v>24</v>
      </c>
      <c r="AC8" s="29" t="s">
        <v>25</v>
      </c>
      <c r="AD8" s="29">
        <v>80695.740000000005</v>
      </c>
      <c r="AE8" s="29" t="s">
        <v>26</v>
      </c>
      <c r="AF8" s="29">
        <v>43360</v>
      </c>
      <c r="AG8" s="29">
        <v>1</v>
      </c>
      <c r="AH8" s="29" t="s">
        <v>18</v>
      </c>
      <c r="AI8" s="29" t="s">
        <v>72</v>
      </c>
      <c r="AJ8" s="29">
        <v>5.7643835616438359</v>
      </c>
      <c r="AK8" s="29" t="s">
        <v>20</v>
      </c>
      <c r="AN8" t="str" cm="1">
        <f t="array" ref="AN8:AY55">_xlfn._xlws.FILTER(Z5:AK266,AD5:AD266&gt;100000)</f>
        <v>First Name</v>
      </c>
      <c r="AO8" t="str">
        <v>Last Name</v>
      </c>
      <c r="AP8" t="str">
        <v>Gender</v>
      </c>
      <c r="AQ8" t="str">
        <v>Department</v>
      </c>
      <c r="AR8" t="str">
        <v>Salary</v>
      </c>
      <c r="AS8" t="str">
        <v>Salary Bucket</v>
      </c>
      <c r="AT8" t="str">
        <v>Start Date</v>
      </c>
      <c r="AU8" t="str">
        <v>FTE</v>
      </c>
      <c r="AV8" t="str">
        <v>Employee type</v>
      </c>
      <c r="AW8" t="str">
        <v>Work location</v>
      </c>
      <c r="AX8" t="str">
        <v>Tenure</v>
      </c>
      <c r="AY8" t="str">
        <v>Work Type</v>
      </c>
    </row>
    <row r="9" spans="1:51" x14ac:dyDescent="0.25">
      <c r="B9" t="str">
        <v>SQ00144</v>
      </c>
      <c r="C9" t="str">
        <v>Collen</v>
      </c>
      <c r="D9" t="str">
        <v>Dunbleton</v>
      </c>
      <c r="E9" t="str">
        <v>Male</v>
      </c>
      <c r="F9" t="str">
        <v>Engineering</v>
      </c>
      <c r="G9" s="33">
        <v>118976.16</v>
      </c>
      <c r="H9" t="str">
        <v>Above 100k</v>
      </c>
      <c r="I9" s="39">
        <v>44120</v>
      </c>
      <c r="J9">
        <v>1</v>
      </c>
      <c r="K9" t="str">
        <v>Permanent</v>
      </c>
      <c r="L9" t="str">
        <v>Wellington, New Zealand</v>
      </c>
      <c r="M9">
        <v>3.6821917808219178</v>
      </c>
      <c r="N9" t="str">
        <v>Full time</v>
      </c>
      <c r="Q9" t="s">
        <v>795</v>
      </c>
      <c r="R9" t="s">
        <v>796</v>
      </c>
      <c r="S9" s="33"/>
      <c r="V9">
        <v>3</v>
      </c>
      <c r="Z9" s="29" t="s">
        <v>283</v>
      </c>
      <c r="AA9" s="29" t="s">
        <v>284</v>
      </c>
      <c r="AB9" s="29" t="s">
        <v>24</v>
      </c>
      <c r="AC9" s="29" t="s">
        <v>25</v>
      </c>
      <c r="AD9" s="29">
        <v>80695.740000000005</v>
      </c>
      <c r="AE9" s="29" t="s">
        <v>26</v>
      </c>
      <c r="AF9" s="29">
        <v>43360</v>
      </c>
      <c r="AG9" s="29">
        <v>1</v>
      </c>
      <c r="AH9" s="29" t="s">
        <v>18</v>
      </c>
      <c r="AI9" s="29" t="s">
        <v>72</v>
      </c>
      <c r="AJ9" s="29">
        <v>5.7643835616438359</v>
      </c>
      <c r="AK9" s="29" t="s">
        <v>20</v>
      </c>
      <c r="AN9" t="str">
        <v>Minerva</v>
      </c>
      <c r="AO9">
        <v>0</v>
      </c>
      <c r="AP9" t="str">
        <v>Male</v>
      </c>
      <c r="AQ9" t="str">
        <v>Engineering</v>
      </c>
      <c r="AR9">
        <v>120000</v>
      </c>
      <c r="AS9" t="str">
        <v>Above 100k</v>
      </c>
      <c r="AT9">
        <v>43416</v>
      </c>
      <c r="AU9">
        <v>1</v>
      </c>
      <c r="AV9" t="str">
        <v>Permanent</v>
      </c>
      <c r="AW9" t="str">
        <v>Remote</v>
      </c>
      <c r="AX9">
        <v>5.6109589041095891</v>
      </c>
      <c r="AY9" t="str">
        <v>Full time</v>
      </c>
    </row>
    <row r="10" spans="1:51" x14ac:dyDescent="0.25">
      <c r="B10" t="str">
        <v>SQ02174</v>
      </c>
      <c r="C10" t="str">
        <v>Sidoney</v>
      </c>
      <c r="D10" t="str">
        <v>Yitzhok</v>
      </c>
      <c r="E10" t="str">
        <v>Female</v>
      </c>
      <c r="F10" t="str">
        <v>Engineering</v>
      </c>
      <c r="G10" s="33">
        <v>118442.54</v>
      </c>
      <c r="H10" t="str">
        <v>Above 100k</v>
      </c>
      <c r="I10" s="39">
        <v>44193</v>
      </c>
      <c r="J10">
        <v>1</v>
      </c>
      <c r="K10" t="str">
        <v>Permanent</v>
      </c>
      <c r="L10" t="str">
        <v>Auckland, New Zealand</v>
      </c>
      <c r="M10">
        <v>3.4821917808219176</v>
      </c>
      <c r="N10" t="str">
        <v>Full time</v>
      </c>
      <c r="Q10" s="53" cm="1">
        <f t="array" ref="Q10">LARGE(_xlfn._xlws.FILTER('Q2 Large,Filter, Take, Sort'!$B$5:$N$52,('Q2 Large,Filter, Take, Sort'!$E$5:$E$52)="Male"),'Q2 Large,Filter, Take, Sort'!V7)</f>
        <v>120000</v>
      </c>
      <c r="R10" s="33" cm="1">
        <f t="array" ref="R10:R19">_xlfn.TAKE(_xlfn._xlws.SORT(G6:G52,,1),10)</f>
        <v>100371.31</v>
      </c>
      <c r="S10" s="33"/>
      <c r="T10" s="33">
        <f>MIN(G6:G52)</f>
        <v>100371.31</v>
      </c>
      <c r="V10">
        <v>4</v>
      </c>
      <c r="Z10" s="29" t="s">
        <v>13</v>
      </c>
      <c r="AA10" s="29"/>
      <c r="AB10" s="29" t="s">
        <v>15</v>
      </c>
      <c r="AC10" s="29" t="s">
        <v>16</v>
      </c>
      <c r="AD10" s="29">
        <v>120000</v>
      </c>
      <c r="AE10" s="29" t="s">
        <v>17</v>
      </c>
      <c r="AF10" s="29">
        <v>43416</v>
      </c>
      <c r="AG10" s="29">
        <v>1</v>
      </c>
      <c r="AH10" s="29" t="s">
        <v>18</v>
      </c>
      <c r="AI10" s="29" t="s">
        <v>19</v>
      </c>
      <c r="AJ10" s="29">
        <v>5.6109589041095891</v>
      </c>
      <c r="AK10" s="29" t="s">
        <v>20</v>
      </c>
      <c r="AN10" t="str">
        <v>Hogan</v>
      </c>
      <c r="AO10" t="str">
        <v>Iles</v>
      </c>
      <c r="AP10" t="str">
        <v>Female</v>
      </c>
      <c r="AQ10" t="str">
        <v>Accounting</v>
      </c>
      <c r="AR10">
        <v>114177.23</v>
      </c>
      <c r="AS10" t="str">
        <v>Above 100k</v>
      </c>
      <c r="AT10">
        <v>43908</v>
      </c>
      <c r="AU10">
        <v>1</v>
      </c>
      <c r="AV10" t="str">
        <v>Permanent</v>
      </c>
      <c r="AW10" t="str">
        <v>Wellington, New Zealand</v>
      </c>
      <c r="AX10">
        <v>4.2630136986301368</v>
      </c>
      <c r="AY10" t="str">
        <v>Full time</v>
      </c>
    </row>
    <row r="11" spans="1:51" x14ac:dyDescent="0.25">
      <c r="B11" t="str">
        <v>VT04093</v>
      </c>
      <c r="C11" t="str">
        <v>Prasanna</v>
      </c>
      <c r="D11" t="str">
        <v>Lakshmi</v>
      </c>
      <c r="E11" t="str">
        <v>Female</v>
      </c>
      <c r="F11" t="str">
        <v>Training</v>
      </c>
      <c r="G11" s="33">
        <v>116767.63</v>
      </c>
      <c r="H11" t="str">
        <v>Above 100k</v>
      </c>
      <c r="I11" s="39">
        <v>43949</v>
      </c>
      <c r="J11">
        <v>0.4</v>
      </c>
      <c r="K11" t="str">
        <v>Temporary</v>
      </c>
      <c r="L11" t="str">
        <v>Chennai, India</v>
      </c>
      <c r="M11">
        <v>4.1506849315068495</v>
      </c>
      <c r="N11" t="str">
        <v>Part time</v>
      </c>
      <c r="Q11" s="53" cm="1">
        <f t="array" ref="Q11">LARGE(_xlfn._xlws.FILTER('Q2 Large,Filter, Take, Sort'!$B$5:$N$52,('Q2 Large,Filter, Take, Sort'!$E$5:$E$52)="Male"),'Q2 Large,Filter, Take, Sort'!V8)</f>
        <v>119022.49</v>
      </c>
      <c r="R11" s="33">
        <v>100424.23</v>
      </c>
      <c r="S11" s="33"/>
      <c r="T11" s="33">
        <f>MAX(G6:G52)</f>
        <v>120000</v>
      </c>
      <c r="V11">
        <v>5</v>
      </c>
      <c r="Z11" s="29" t="s">
        <v>646</v>
      </c>
      <c r="AA11" s="29" t="s">
        <v>647</v>
      </c>
      <c r="AB11" s="29" t="s">
        <v>24</v>
      </c>
      <c r="AC11" s="29" t="s">
        <v>54</v>
      </c>
      <c r="AD11" s="29">
        <v>67905.8</v>
      </c>
      <c r="AE11" s="29" t="s">
        <v>26</v>
      </c>
      <c r="AF11" s="29">
        <v>44194</v>
      </c>
      <c r="AG11" s="29">
        <v>1</v>
      </c>
      <c r="AH11" s="29" t="s">
        <v>18</v>
      </c>
      <c r="AI11" s="29" t="s">
        <v>19</v>
      </c>
      <c r="AJ11" s="29">
        <v>3.4794520547945207</v>
      </c>
      <c r="AK11" s="29" t="s">
        <v>20</v>
      </c>
      <c r="AN11" t="str">
        <v>Mollie</v>
      </c>
      <c r="AO11" t="str">
        <v>Hanway</v>
      </c>
      <c r="AP11" t="str">
        <v>Male</v>
      </c>
      <c r="AQ11" t="str">
        <v>Engineering</v>
      </c>
      <c r="AR11">
        <v>112645.99</v>
      </c>
      <c r="AS11" t="str">
        <v>Above 100k</v>
      </c>
      <c r="AT11">
        <v>43759</v>
      </c>
      <c r="AU11">
        <v>0.6</v>
      </c>
      <c r="AV11" t="str">
        <v>Permanent</v>
      </c>
      <c r="AW11" t="str">
        <v>Seattle, USA</v>
      </c>
      <c r="AX11">
        <v>4.6712328767123283</v>
      </c>
      <c r="AY11" t="str">
        <v>Part time</v>
      </c>
    </row>
    <row r="12" spans="1:51" x14ac:dyDescent="0.25">
      <c r="B12" t="str">
        <v>VT04093</v>
      </c>
      <c r="C12" t="str">
        <v>Baruna</v>
      </c>
      <c r="D12" t="str">
        <v>Ogale</v>
      </c>
      <c r="E12" t="str">
        <v>Female</v>
      </c>
      <c r="F12" t="str">
        <v>Training</v>
      </c>
      <c r="G12" s="33">
        <v>116767.63</v>
      </c>
      <c r="H12" t="str">
        <v>Above 100k</v>
      </c>
      <c r="I12" s="39">
        <v>43949</v>
      </c>
      <c r="J12">
        <v>0.4</v>
      </c>
      <c r="K12" t="str">
        <v>Temporary</v>
      </c>
      <c r="L12" t="str">
        <v>Chennai, India</v>
      </c>
      <c r="M12">
        <v>4.1506849315068495</v>
      </c>
      <c r="N12" t="str">
        <v>Part time</v>
      </c>
      <c r="Q12" s="53" cm="1">
        <f t="array" ref="Q12">LARGE(_xlfn._xlws.FILTER('Q2 Large,Filter, Take, Sort'!$B$5:$N$52,('Q2 Large,Filter, Take, Sort'!$E$5:$E$52)="Male"),'Q2 Large,Filter, Take, Sort'!V9)</f>
        <v>118976.16</v>
      </c>
      <c r="R12" s="33">
        <v>100731.95</v>
      </c>
      <c r="S12" s="33"/>
      <c r="T12" s="33" cm="1">
        <f t="array" ref="T12">LARGE(_xlfn._xlws.FILTER(G6:G52,E6:E52="Male"),V7)</f>
        <v>120000</v>
      </c>
      <c r="V12">
        <v>6</v>
      </c>
      <c r="Z12" s="29" t="s">
        <v>60</v>
      </c>
      <c r="AA12" s="29" t="s">
        <v>61</v>
      </c>
      <c r="AB12" s="29" t="s">
        <v>24</v>
      </c>
      <c r="AC12" s="29" t="s">
        <v>25</v>
      </c>
      <c r="AD12" s="29">
        <v>68980.52</v>
      </c>
      <c r="AE12" s="29" t="s">
        <v>26</v>
      </c>
      <c r="AF12" s="29">
        <v>43494</v>
      </c>
      <c r="AG12" s="29">
        <v>0.8</v>
      </c>
      <c r="AH12" s="29" t="s">
        <v>18</v>
      </c>
      <c r="AI12" s="29" t="s">
        <v>19</v>
      </c>
      <c r="AJ12" s="29">
        <v>5.397260273972603</v>
      </c>
      <c r="AK12" s="29" t="s">
        <v>28</v>
      </c>
      <c r="AN12" t="str">
        <v>Prerana</v>
      </c>
      <c r="AO12" t="str">
        <v>Nishita</v>
      </c>
      <c r="AP12" t="str">
        <v>Male</v>
      </c>
      <c r="AQ12" t="str">
        <v>Product Management</v>
      </c>
      <c r="AR12">
        <v>115191.38</v>
      </c>
      <c r="AS12" t="str">
        <v>Above 100k</v>
      </c>
      <c r="AT12">
        <v>44004</v>
      </c>
      <c r="AU12">
        <v>1</v>
      </c>
      <c r="AV12" t="str">
        <v>Permanent</v>
      </c>
      <c r="AW12" t="str">
        <v>Hyderabad, India</v>
      </c>
      <c r="AX12">
        <v>4</v>
      </c>
      <c r="AY12" t="str">
        <v>Full time</v>
      </c>
    </row>
    <row r="13" spans="1:51" x14ac:dyDescent="0.25">
      <c r="B13" t="str">
        <v>PR02010</v>
      </c>
      <c r="C13" t="str">
        <v>Prerana</v>
      </c>
      <c r="D13" t="str">
        <v>Nishita</v>
      </c>
      <c r="E13" t="str">
        <v>Male</v>
      </c>
      <c r="F13" t="str">
        <v>Product Management</v>
      </c>
      <c r="G13" s="33">
        <v>115191.38</v>
      </c>
      <c r="H13" t="str">
        <v>Above 100k</v>
      </c>
      <c r="I13" s="39">
        <v>44004</v>
      </c>
      <c r="J13">
        <v>1</v>
      </c>
      <c r="K13" t="str">
        <v>Permanent</v>
      </c>
      <c r="L13" t="str">
        <v>Hyderabad, India</v>
      </c>
      <c r="M13">
        <v>4</v>
      </c>
      <c r="N13" t="str">
        <v>Full time</v>
      </c>
      <c r="Q13" s="53" cm="1">
        <f t="array" ref="Q13">LARGE(_xlfn._xlws.FILTER('Q2 Large,Filter, Take, Sort'!$B$5:$N$52,('Q2 Large,Filter, Take, Sort'!$E$5:$E$52)="Male"),'Q2 Large,Filter, Take, Sort'!V10)</f>
        <v>115191.38</v>
      </c>
      <c r="R13" s="33">
        <v>101187.36</v>
      </c>
      <c r="S13" s="33"/>
      <c r="T13" s="33" cm="1">
        <f t="array" ref="T13">LARGE(_xlfn._xlws.FILTER(G7:G53,E7:E53="Male"),V8)</f>
        <v>118976.16</v>
      </c>
      <c r="V13">
        <v>7</v>
      </c>
      <c r="Z13" s="29" t="s">
        <v>226</v>
      </c>
      <c r="AA13" s="29" t="s">
        <v>227</v>
      </c>
      <c r="AB13" s="29" t="s">
        <v>24</v>
      </c>
      <c r="AC13" s="29" t="s">
        <v>131</v>
      </c>
      <c r="AD13" s="29">
        <v>63705.4</v>
      </c>
      <c r="AE13" s="29" t="s">
        <v>26</v>
      </c>
      <c r="AF13" s="29">
        <v>43682</v>
      </c>
      <c r="AG13" s="29">
        <v>1</v>
      </c>
      <c r="AH13" s="29" t="s">
        <v>18</v>
      </c>
      <c r="AI13" s="29" t="s">
        <v>41</v>
      </c>
      <c r="AJ13" s="29">
        <v>4.882191780821918</v>
      </c>
      <c r="AK13" s="29" t="s">
        <v>20</v>
      </c>
      <c r="AN13" t="str">
        <v>Gowri</v>
      </c>
      <c r="AO13" t="str">
        <v>Sankar</v>
      </c>
      <c r="AP13" t="str">
        <v>Female</v>
      </c>
      <c r="AQ13" t="str">
        <v>Training</v>
      </c>
      <c r="AR13">
        <v>102934.09</v>
      </c>
      <c r="AS13" t="str">
        <v>Above 100k</v>
      </c>
      <c r="AT13">
        <v>44315</v>
      </c>
      <c r="AU13">
        <v>1</v>
      </c>
      <c r="AV13" t="str">
        <v>Permanent</v>
      </c>
      <c r="AW13" t="str">
        <v>Hyderabad, India</v>
      </c>
      <c r="AX13">
        <v>3.1479452054794521</v>
      </c>
      <c r="AY13" t="str">
        <v>Full time</v>
      </c>
    </row>
    <row r="14" spans="1:51" x14ac:dyDescent="0.25">
      <c r="B14" t="str">
        <v>SQ02624</v>
      </c>
      <c r="C14" t="str">
        <v>Gwenneth</v>
      </c>
      <c r="D14" t="str">
        <v>Fealey</v>
      </c>
      <c r="E14" t="str">
        <v>Female</v>
      </c>
      <c r="F14" t="str">
        <v>Engineering</v>
      </c>
      <c r="G14" s="33">
        <v>114772.32</v>
      </c>
      <c r="H14" t="str">
        <v>Above 100k</v>
      </c>
      <c r="I14" s="39">
        <v>44251</v>
      </c>
      <c r="J14">
        <v>1</v>
      </c>
      <c r="K14" t="str">
        <v>Permanent</v>
      </c>
      <c r="L14" t="str">
        <v>Columbus, USA</v>
      </c>
      <c r="M14">
        <v>3.3232876712328765</v>
      </c>
      <c r="N14" t="str">
        <v>Full time</v>
      </c>
      <c r="Q14" s="53" cm="1">
        <f t="array" ref="Q14">LARGE(_xlfn._xlws.FILTER('Q2 Large,Filter, Take, Sort'!$B$5:$N$52,('Q2 Large,Filter, Take, Sort'!$E$5:$E$52)="Male"),'Q2 Large,Filter, Take, Sort'!V11)</f>
        <v>114691.03</v>
      </c>
      <c r="R14" s="33">
        <v>102129.37</v>
      </c>
      <c r="S14" s="33"/>
      <c r="T14" s="33" cm="1">
        <f t="array" ref="T14">LARGE(_xlfn._xlws.FILTER(G8:G54,E8:E54="Male"),V9)</f>
        <v>115191.38</v>
      </c>
      <c r="V14">
        <v>8</v>
      </c>
      <c r="Z14" s="29" t="s">
        <v>505</v>
      </c>
      <c r="AA14" s="29" t="s">
        <v>506</v>
      </c>
      <c r="AB14" s="29" t="s">
        <v>24</v>
      </c>
      <c r="AC14" s="29" t="s">
        <v>101</v>
      </c>
      <c r="AD14" s="29">
        <v>114177.23</v>
      </c>
      <c r="AE14" s="29" t="s">
        <v>17</v>
      </c>
      <c r="AF14" s="29">
        <v>43908</v>
      </c>
      <c r="AG14" s="29">
        <v>1</v>
      </c>
      <c r="AH14" s="29" t="s">
        <v>18</v>
      </c>
      <c r="AI14" s="29" t="s">
        <v>45</v>
      </c>
      <c r="AJ14" s="29">
        <v>4.2630136986301368</v>
      </c>
      <c r="AK14" s="29" t="s">
        <v>20</v>
      </c>
      <c r="AN14" t="str">
        <v>Althea</v>
      </c>
      <c r="AO14" t="str">
        <v>Bronger</v>
      </c>
      <c r="AP14" t="str">
        <v>Male</v>
      </c>
      <c r="AQ14" t="str">
        <v>Product Management</v>
      </c>
      <c r="AR14">
        <v>104335.03999999999</v>
      </c>
      <c r="AS14" t="str">
        <v>Above 100k</v>
      </c>
      <c r="AT14">
        <v>43874</v>
      </c>
      <c r="AU14">
        <v>1</v>
      </c>
      <c r="AV14" t="str">
        <v>Permanent</v>
      </c>
      <c r="AW14" t="str">
        <v>Columbus, USA</v>
      </c>
      <c r="AX14">
        <v>4.3561643835616435</v>
      </c>
      <c r="AY14" t="str">
        <v>Full time</v>
      </c>
    </row>
    <row r="15" spans="1:51" x14ac:dyDescent="0.25">
      <c r="B15" t="str">
        <v>VT02801</v>
      </c>
      <c r="C15" t="str">
        <v>Shellysheldon</v>
      </c>
      <c r="D15" t="str">
        <v>Mahady</v>
      </c>
      <c r="E15" t="str">
        <v>Male</v>
      </c>
      <c r="F15" t="str">
        <v>Training</v>
      </c>
      <c r="G15" s="33">
        <v>114691.03</v>
      </c>
      <c r="H15" t="str">
        <v>Above 100k</v>
      </c>
      <c r="I15" s="39">
        <v>44039</v>
      </c>
      <c r="J15">
        <v>1</v>
      </c>
      <c r="K15" t="str">
        <v>Temporary</v>
      </c>
      <c r="L15" t="str">
        <v>Wellington, New Zealand</v>
      </c>
      <c r="M15">
        <v>3.904109589041096</v>
      </c>
      <c r="N15" t="str">
        <v>Full time</v>
      </c>
      <c r="Q15" s="53" cm="1">
        <f t="array" ref="Q15">LARGE(_xlfn._xlws.FILTER('Q2 Large,Filter, Take, Sort'!$B$5:$N$52,('Q2 Large,Filter, Take, Sort'!$E$5:$E$52)="Male"),'Q2 Large,Filter, Take, Sort'!V12)</f>
        <v>114465.93</v>
      </c>
      <c r="R15" s="33">
        <v>102515.81</v>
      </c>
      <c r="S15" s="33"/>
      <c r="T15" s="33" cm="1">
        <f t="array" ref="T15">LARGE(_xlfn._xlws.FILTER(G9:G55,E9:E55="Male"),V10)</f>
        <v>114465.93</v>
      </c>
      <c r="V15">
        <v>9</v>
      </c>
      <c r="Z15" s="29" t="s">
        <v>597</v>
      </c>
      <c r="AA15" s="29" t="s">
        <v>598</v>
      </c>
      <c r="AB15" s="29" t="s">
        <v>15</v>
      </c>
      <c r="AC15" s="29" t="s">
        <v>131</v>
      </c>
      <c r="AD15" s="29">
        <v>29774.76</v>
      </c>
      <c r="AE15" s="29" t="s">
        <v>65</v>
      </c>
      <c r="AF15" s="29">
        <v>44105</v>
      </c>
      <c r="AG15" s="29">
        <v>1</v>
      </c>
      <c r="AH15" s="29" t="s">
        <v>18</v>
      </c>
      <c r="AI15" s="29" t="s">
        <v>45</v>
      </c>
      <c r="AJ15" s="29">
        <v>3.7232876712328768</v>
      </c>
      <c r="AK15" s="29" t="s">
        <v>20</v>
      </c>
      <c r="AN15" t="str">
        <v>Edd</v>
      </c>
      <c r="AO15" t="str">
        <v>MacKnockiter</v>
      </c>
      <c r="AP15" t="str">
        <v>Male</v>
      </c>
      <c r="AQ15" t="str">
        <v>Accounting</v>
      </c>
      <c r="AR15">
        <v>119022.49</v>
      </c>
      <c r="AS15" t="str">
        <v>Above 100k</v>
      </c>
      <c r="AT15">
        <v>44431</v>
      </c>
      <c r="AU15">
        <v>1</v>
      </c>
      <c r="AV15" t="str">
        <v>Permanent</v>
      </c>
      <c r="AW15" t="str">
        <v>Auckland, New Zealand</v>
      </c>
      <c r="AX15">
        <v>2.8301369863013699</v>
      </c>
      <c r="AY15" t="str">
        <v>Full time</v>
      </c>
    </row>
    <row r="16" spans="1:51" x14ac:dyDescent="0.25">
      <c r="B16" t="str">
        <v>VT02491</v>
      </c>
      <c r="C16" t="str">
        <v>Alexis</v>
      </c>
      <c r="D16" t="str">
        <v>Gotfrey</v>
      </c>
      <c r="E16" t="str">
        <v>Male</v>
      </c>
      <c r="F16" t="str">
        <v>Engineering</v>
      </c>
      <c r="G16" s="33">
        <v>114465.93</v>
      </c>
      <c r="H16" t="str">
        <v>Above 100k</v>
      </c>
      <c r="I16" s="39">
        <v>43291</v>
      </c>
      <c r="J16">
        <v>1</v>
      </c>
      <c r="K16" t="str">
        <v>Temporary</v>
      </c>
      <c r="L16" t="str">
        <v>Wellington, New Zealand</v>
      </c>
      <c r="M16">
        <v>5.9534246575342467</v>
      </c>
      <c r="N16" t="str">
        <v>Full time</v>
      </c>
      <c r="Q16" s="53" cm="1">
        <f t="array" ref="Q16">LARGE(_xlfn._xlws.FILTER('Q2 Large,Filter, Take, Sort'!$B$5:$N$52,('Q2 Large,Filter, Take, Sort'!$E$5:$E$52)="Male"),'Q2 Large,Filter, Take, Sort'!V13)</f>
        <v>113747.56</v>
      </c>
      <c r="R16" s="33">
        <v>102934.09</v>
      </c>
      <c r="S16" s="33"/>
      <c r="T16" s="33" cm="1">
        <f t="array" ref="T16">LARGE(_xlfn._xlws.FILTER(G10:G56,E10:E56="Male"),V11)</f>
        <v>113747.56</v>
      </c>
      <c r="V16">
        <v>10</v>
      </c>
      <c r="Z16" s="29" t="s">
        <v>99</v>
      </c>
      <c r="AA16" s="29" t="s">
        <v>100</v>
      </c>
      <c r="AB16" s="29" t="s">
        <v>15</v>
      </c>
      <c r="AC16" s="29" t="s">
        <v>101</v>
      </c>
      <c r="AD16" s="29">
        <v>52963.65</v>
      </c>
      <c r="AE16" s="29" t="s">
        <v>26</v>
      </c>
      <c r="AF16" s="29">
        <v>44288</v>
      </c>
      <c r="AG16" s="29">
        <v>0.3</v>
      </c>
      <c r="AH16" s="29" t="s">
        <v>18</v>
      </c>
      <c r="AI16" s="29" t="s">
        <v>72</v>
      </c>
      <c r="AJ16" s="29">
        <v>3.2219178082191782</v>
      </c>
      <c r="AK16" s="29" t="s">
        <v>28</v>
      </c>
      <c r="AN16" t="str">
        <v>Yedukondalu</v>
      </c>
      <c r="AO16" t="str">
        <v>Panditula</v>
      </c>
      <c r="AP16" t="str">
        <v>Need to check</v>
      </c>
      <c r="AQ16" t="str">
        <v>Support</v>
      </c>
      <c r="AR16">
        <v>104802.63</v>
      </c>
      <c r="AS16" t="str">
        <v>Above 100k</v>
      </c>
      <c r="AT16">
        <v>44502</v>
      </c>
      <c r="AU16">
        <v>1</v>
      </c>
      <c r="AV16" t="str">
        <v>Permanent</v>
      </c>
      <c r="AW16" t="str">
        <v>Hyderabad, India</v>
      </c>
      <c r="AX16">
        <v>2.6356164383561644</v>
      </c>
      <c r="AY16" t="str">
        <v>Full time</v>
      </c>
    </row>
    <row r="17" spans="2:51" x14ac:dyDescent="0.25">
      <c r="B17" t="str">
        <v>TN01281</v>
      </c>
      <c r="C17" t="str">
        <v>Cletus</v>
      </c>
      <c r="D17" t="str">
        <v>McGarahan</v>
      </c>
      <c r="E17" t="str">
        <v>Female</v>
      </c>
      <c r="F17" t="str">
        <v>Engineering</v>
      </c>
      <c r="G17" s="33">
        <v>114425.19</v>
      </c>
      <c r="H17" t="str">
        <v>Above 100k</v>
      </c>
      <c r="I17" s="39">
        <v>43857</v>
      </c>
      <c r="J17">
        <v>1</v>
      </c>
      <c r="K17" t="str">
        <v>Permanent</v>
      </c>
      <c r="L17" t="str">
        <v>Wellington, New Zealand</v>
      </c>
      <c r="M17">
        <v>4.4027397260273968</v>
      </c>
      <c r="N17" t="str">
        <v>Full time</v>
      </c>
      <c r="Q17" s="53" cm="1">
        <f t="array" ref="Q17">LARGE(_xlfn._xlws.FILTER('Q2 Large,Filter, Take, Sort'!$B$5:$N$52,('Q2 Large,Filter, Take, Sort'!$E$5:$E$52)="Male"),'Q2 Large,Filter, Take, Sort'!V14)</f>
        <v>113747.56</v>
      </c>
      <c r="R17" s="33">
        <v>103494.94</v>
      </c>
      <c r="S17" s="33"/>
      <c r="T17" s="33" cm="1">
        <f t="array" ref="T17">LARGE(_xlfn._xlws.FILTER(G11:G57,E11:E57="Male"),V12)</f>
        <v>113616.23</v>
      </c>
      <c r="V17">
        <v>11</v>
      </c>
      <c r="Z17" s="29" t="s">
        <v>95</v>
      </c>
      <c r="AA17" s="29" t="s">
        <v>96</v>
      </c>
      <c r="AB17" s="29" t="s">
        <v>15</v>
      </c>
      <c r="AC17" s="29" t="s">
        <v>97</v>
      </c>
      <c r="AD17" s="29">
        <v>50310.09</v>
      </c>
      <c r="AE17" s="29" t="s">
        <v>26</v>
      </c>
      <c r="AF17" s="29">
        <v>44285</v>
      </c>
      <c r="AG17" s="29">
        <v>0.4</v>
      </c>
      <c r="AH17" s="29" t="s">
        <v>18</v>
      </c>
      <c r="AI17" s="29" t="s">
        <v>41</v>
      </c>
      <c r="AJ17" s="29">
        <v>3.2301369863013698</v>
      </c>
      <c r="AK17" s="29" t="s">
        <v>28</v>
      </c>
      <c r="AN17" t="str">
        <v>Carlin</v>
      </c>
      <c r="AO17" t="str">
        <v>Demke</v>
      </c>
      <c r="AP17" t="str">
        <v>Male</v>
      </c>
      <c r="AQ17" t="str">
        <v>Business Development</v>
      </c>
      <c r="AR17">
        <v>110042.37</v>
      </c>
      <c r="AS17" t="str">
        <v>Above 100k</v>
      </c>
      <c r="AT17">
        <v>43914</v>
      </c>
      <c r="AU17">
        <v>1</v>
      </c>
      <c r="AV17" t="str">
        <v>Permanent</v>
      </c>
      <c r="AW17" t="str">
        <v>Columbus, USA</v>
      </c>
      <c r="AX17">
        <v>4.2465753424657535</v>
      </c>
      <c r="AY17" t="str">
        <v>Full time</v>
      </c>
    </row>
    <row r="18" spans="2:51" x14ac:dyDescent="0.25">
      <c r="B18" t="str">
        <v>PR00746</v>
      </c>
      <c r="C18" t="str">
        <v>Hogan</v>
      </c>
      <c r="D18" t="str">
        <v>Iles</v>
      </c>
      <c r="E18" t="str">
        <v>Female</v>
      </c>
      <c r="F18" t="str">
        <v>Accounting</v>
      </c>
      <c r="G18" s="33">
        <v>114177.23</v>
      </c>
      <c r="H18" t="str">
        <v>Above 100k</v>
      </c>
      <c r="I18" s="39">
        <v>43908</v>
      </c>
      <c r="J18">
        <v>1</v>
      </c>
      <c r="K18" t="str">
        <v>Permanent</v>
      </c>
      <c r="L18" t="str">
        <v>Wellington, New Zealand</v>
      </c>
      <c r="M18">
        <v>4.2630136986301368</v>
      </c>
      <c r="N18" t="str">
        <v>Full time</v>
      </c>
      <c r="Q18" s="53" cm="1">
        <f t="array" ref="Q18">LARGE(_xlfn._xlws.FILTER('Q2 Large,Filter, Take, Sort'!$B$5:$N$52,('Q2 Large,Filter, Take, Sort'!$E$5:$E$52)="Male"),'Q2 Large,Filter, Take, Sort'!V15)</f>
        <v>113616.23</v>
      </c>
      <c r="R18" s="33">
        <v>103494.94</v>
      </c>
      <c r="S18" s="33"/>
      <c r="T18" s="33" cm="1">
        <f t="array" ref="T18">LARGE(_xlfn._xlws.FILTER(G12:G58,E12:E58="Male"),V13)</f>
        <v>112778.28</v>
      </c>
      <c r="Z18" s="29" t="s">
        <v>292</v>
      </c>
      <c r="AA18" s="29" t="s">
        <v>293</v>
      </c>
      <c r="AB18" s="29" t="s">
        <v>24</v>
      </c>
      <c r="AC18" s="29" t="s">
        <v>58</v>
      </c>
      <c r="AD18" s="29">
        <v>84309.95</v>
      </c>
      <c r="AE18" s="29" t="s">
        <v>26</v>
      </c>
      <c r="AF18" s="29">
        <v>44501</v>
      </c>
      <c r="AG18" s="29">
        <v>1</v>
      </c>
      <c r="AH18" s="29" t="s">
        <v>18</v>
      </c>
      <c r="AI18" s="29" t="s">
        <v>19</v>
      </c>
      <c r="AJ18" s="29">
        <v>2.6383561643835618</v>
      </c>
      <c r="AK18" s="29" t="s">
        <v>20</v>
      </c>
      <c r="AN18" t="str">
        <v>Collen</v>
      </c>
      <c r="AO18" t="str">
        <v>Dunbleton</v>
      </c>
      <c r="AP18" t="str">
        <v>Male</v>
      </c>
      <c r="AQ18" t="str">
        <v>Engineering</v>
      </c>
      <c r="AR18">
        <v>118976.16</v>
      </c>
      <c r="AS18" t="str">
        <v>Above 100k</v>
      </c>
      <c r="AT18">
        <v>44120</v>
      </c>
      <c r="AU18">
        <v>1</v>
      </c>
      <c r="AV18" t="str">
        <v>Permanent</v>
      </c>
      <c r="AW18" t="str">
        <v>Wellington, New Zealand</v>
      </c>
      <c r="AX18">
        <v>3.6821917808219178</v>
      </c>
      <c r="AY18" t="str">
        <v>Full time</v>
      </c>
    </row>
    <row r="19" spans="2:51" x14ac:dyDescent="0.25">
      <c r="B19" t="str">
        <v>VT03421</v>
      </c>
      <c r="C19" t="str">
        <v>Alic</v>
      </c>
      <c r="D19" t="str">
        <v>Bagg</v>
      </c>
      <c r="E19" t="str">
        <v>Male</v>
      </c>
      <c r="F19" t="str">
        <v>Legal</v>
      </c>
      <c r="G19" s="33">
        <v>113747.56</v>
      </c>
      <c r="H19" t="str">
        <v>Above 100k</v>
      </c>
      <c r="I19" s="39">
        <v>44270</v>
      </c>
      <c r="J19">
        <v>0.7</v>
      </c>
      <c r="K19" t="str">
        <v>Temporary</v>
      </c>
      <c r="L19" t="str">
        <v>Columbus, USA</v>
      </c>
      <c r="M19">
        <v>3.2712328767123289</v>
      </c>
      <c r="N19" t="str">
        <v>Part time</v>
      </c>
      <c r="Q19" s="53" cm="1">
        <f t="array" ref="Q19">LARGE(_xlfn._xlws.FILTER('Q2 Large,Filter, Take, Sort'!$B$5:$N$52,('Q2 Large,Filter, Take, Sort'!$E$5:$E$52)="Male"),'Q2 Large,Filter, Take, Sort'!V16)</f>
        <v>112778.28</v>
      </c>
      <c r="R19" s="33">
        <v>104038.9</v>
      </c>
      <c r="S19" s="33"/>
      <c r="T19" s="33" cm="1">
        <f t="array" ref="T19">LARGE(_xlfn._xlws.FILTER(G13:G59,E13:E59="Male"),V14)</f>
        <v>112778.28</v>
      </c>
      <c r="Z19" s="29" t="s">
        <v>591</v>
      </c>
      <c r="AA19" s="29" t="s">
        <v>592</v>
      </c>
      <c r="AB19" s="29" t="s">
        <v>15</v>
      </c>
      <c r="AC19" s="29" t="s">
        <v>101</v>
      </c>
      <c r="AD19" s="29">
        <v>35936.31</v>
      </c>
      <c r="AE19" s="29" t="s">
        <v>65</v>
      </c>
      <c r="AF19" s="29">
        <v>43241</v>
      </c>
      <c r="AG19" s="29">
        <v>1</v>
      </c>
      <c r="AH19" s="29" t="s">
        <v>18</v>
      </c>
      <c r="AI19" s="29" t="s">
        <v>84</v>
      </c>
      <c r="AJ19" s="29">
        <v>6.0904109589041093</v>
      </c>
      <c r="AK19" s="29" t="s">
        <v>20</v>
      </c>
      <c r="AN19" t="str">
        <v>Amery</v>
      </c>
      <c r="AO19" t="str">
        <v>Ofer</v>
      </c>
      <c r="AP19" t="str">
        <v>Female</v>
      </c>
      <c r="AQ19" t="str">
        <v>Legal</v>
      </c>
      <c r="AR19">
        <v>111049.84</v>
      </c>
      <c r="AS19" t="str">
        <v>Above 100k</v>
      </c>
      <c r="AT19">
        <v>44393</v>
      </c>
      <c r="AU19">
        <v>1</v>
      </c>
      <c r="AV19" t="str">
        <v>Permanent</v>
      </c>
      <c r="AW19" t="str">
        <v>Wellington, New Zealand</v>
      </c>
      <c r="AX19">
        <v>2.9342465753424656</v>
      </c>
      <c r="AY19" t="str">
        <v>Full time</v>
      </c>
    </row>
    <row r="20" spans="2:51" x14ac:dyDescent="0.25">
      <c r="B20" t="str">
        <v>VT03421</v>
      </c>
      <c r="C20" t="str">
        <v>Alic</v>
      </c>
      <c r="D20" t="str">
        <v>Bagg</v>
      </c>
      <c r="E20" t="str">
        <v>Male</v>
      </c>
      <c r="F20" t="str">
        <v>Legal</v>
      </c>
      <c r="G20" s="33">
        <v>113747.56</v>
      </c>
      <c r="H20" t="str">
        <v>Above 100k</v>
      </c>
      <c r="I20" s="39">
        <v>44270</v>
      </c>
      <c r="J20">
        <v>0.7</v>
      </c>
      <c r="K20" t="str">
        <v>Temporary</v>
      </c>
      <c r="L20" t="str">
        <v>Columbus, USA</v>
      </c>
      <c r="M20">
        <v>3.2712328767123289</v>
      </c>
      <c r="N20" t="str">
        <v>Part time</v>
      </c>
      <c r="Q20" s="53" cm="1">
        <f t="array" ref="Q20">LARGE(_xlfn._xlws.FILTER('Q2 Large,Filter, Take, Sort'!$B$5:$N$52,('Q2 Large,Filter, Take, Sort'!$E$5:$E$52)="Male"),'Q2 Large,Filter, Take, Sort'!V17)</f>
        <v>112778.28</v>
      </c>
      <c r="S20" s="33"/>
      <c r="T20" s="33" cm="1">
        <f t="array" ref="T20">LARGE(_xlfn._xlws.FILTER(G14:G60,E14:E60="Male"),V15)</f>
        <v>111815.49</v>
      </c>
      <c r="Z20" s="29" t="s">
        <v>277</v>
      </c>
      <c r="AA20" s="29" t="s">
        <v>278</v>
      </c>
      <c r="AB20" s="29" t="s">
        <v>15</v>
      </c>
      <c r="AC20" s="29" t="s">
        <v>16</v>
      </c>
      <c r="AD20" s="29">
        <v>112645.99</v>
      </c>
      <c r="AE20" s="29" t="s">
        <v>17</v>
      </c>
      <c r="AF20" s="29">
        <v>43759</v>
      </c>
      <c r="AG20" s="29">
        <v>0.6</v>
      </c>
      <c r="AH20" s="29" t="s">
        <v>18</v>
      </c>
      <c r="AI20" s="29" t="s">
        <v>27</v>
      </c>
      <c r="AJ20" s="29">
        <v>4.6712328767123283</v>
      </c>
      <c r="AK20" s="29" t="s">
        <v>28</v>
      </c>
      <c r="AN20" t="str">
        <v>Westbrook</v>
      </c>
      <c r="AO20" t="str">
        <v>Brandino</v>
      </c>
      <c r="AP20" t="str">
        <v>Male</v>
      </c>
      <c r="AQ20" t="str">
        <v>Legal</v>
      </c>
      <c r="AR20">
        <v>113616.23</v>
      </c>
      <c r="AS20" t="str">
        <v>Above 100k</v>
      </c>
      <c r="AT20">
        <v>43255</v>
      </c>
      <c r="AU20">
        <v>1</v>
      </c>
      <c r="AV20" t="str">
        <v>Permanent</v>
      </c>
      <c r="AW20" t="str">
        <v>Remote</v>
      </c>
      <c r="AX20">
        <v>6.0520547945205481</v>
      </c>
      <c r="AY20" t="str">
        <v>Full time</v>
      </c>
    </row>
    <row r="21" spans="2:51" x14ac:dyDescent="0.25">
      <c r="B21" t="str">
        <v>SQ01620</v>
      </c>
      <c r="C21" t="str">
        <v>Westbrook</v>
      </c>
      <c r="D21" t="str">
        <v>Brandino</v>
      </c>
      <c r="E21" t="str">
        <v>Male</v>
      </c>
      <c r="F21" t="str">
        <v>Legal</v>
      </c>
      <c r="G21" s="33">
        <v>113616.23</v>
      </c>
      <c r="H21" t="str">
        <v>Above 100k</v>
      </c>
      <c r="I21" s="39">
        <v>43255</v>
      </c>
      <c r="J21">
        <v>1</v>
      </c>
      <c r="K21" t="str">
        <v>Permanent</v>
      </c>
      <c r="L21" t="str">
        <v>Remote</v>
      </c>
      <c r="M21">
        <v>6.0520547945205481</v>
      </c>
      <c r="N21" t="str">
        <v>Full time</v>
      </c>
      <c r="S21" s="33"/>
      <c r="T21" s="33" cm="1">
        <f t="array" ref="T21">LARGE(_xlfn._xlws.FILTER(G15:G61,E15:E61="Male"),V16)</f>
        <v>111815.49</v>
      </c>
      <c r="Z21" s="29" t="s">
        <v>295</v>
      </c>
      <c r="AA21" s="29" t="s">
        <v>296</v>
      </c>
      <c r="AB21" s="29" t="s">
        <v>15</v>
      </c>
      <c r="AC21" s="29" t="s">
        <v>101</v>
      </c>
      <c r="AD21" s="29">
        <v>91645.04</v>
      </c>
      <c r="AE21" s="29" t="s">
        <v>26</v>
      </c>
      <c r="AF21" s="29">
        <v>44223</v>
      </c>
      <c r="AG21" s="29">
        <v>1</v>
      </c>
      <c r="AH21" s="29" t="s">
        <v>18</v>
      </c>
      <c r="AI21" s="29" t="s">
        <v>77</v>
      </c>
      <c r="AJ21" s="29">
        <v>3.4</v>
      </c>
      <c r="AK21" s="29" t="s">
        <v>20</v>
      </c>
      <c r="AN21" t="str">
        <v>Anni</v>
      </c>
      <c r="AO21" t="str">
        <v>Izzard</v>
      </c>
      <c r="AP21" t="str">
        <v>Male</v>
      </c>
      <c r="AQ21" t="str">
        <v>Human Resources</v>
      </c>
      <c r="AR21">
        <v>103494.94</v>
      </c>
      <c r="AS21" t="str">
        <v>Above 100k</v>
      </c>
      <c r="AT21">
        <v>43256</v>
      </c>
      <c r="AU21">
        <v>1</v>
      </c>
      <c r="AV21" t="str">
        <v>Permanent</v>
      </c>
      <c r="AW21" t="str">
        <v>Remote</v>
      </c>
      <c r="AX21">
        <v>6.0493150684931507</v>
      </c>
      <c r="AY21" t="str">
        <v>Full time</v>
      </c>
    </row>
    <row r="22" spans="2:51" x14ac:dyDescent="0.25">
      <c r="B22" t="str">
        <v>VT01893</v>
      </c>
      <c r="C22" t="str">
        <v>Lindy</v>
      </c>
      <c r="D22" t="str">
        <v>Guillet</v>
      </c>
      <c r="E22" t="str">
        <v>Male</v>
      </c>
      <c r="F22" t="str">
        <v>Training</v>
      </c>
      <c r="G22" s="33">
        <v>112778.28</v>
      </c>
      <c r="H22" t="str">
        <v>Above 100k</v>
      </c>
      <c r="I22" s="39">
        <v>43250</v>
      </c>
      <c r="J22">
        <v>1</v>
      </c>
      <c r="K22" t="str">
        <v>Fixed Term</v>
      </c>
      <c r="L22" t="str">
        <v>Remote</v>
      </c>
      <c r="M22">
        <v>6.065753424657534</v>
      </c>
      <c r="N22" t="str">
        <v>Full time</v>
      </c>
      <c r="S22" s="33"/>
      <c r="T22" s="33" cm="1">
        <f t="array" ref="T22">LARGE(_xlfn._xlws.FILTER(G16:G62,E16:E62="Male"),V17)</f>
        <v>110042.37</v>
      </c>
      <c r="Z22" s="29" t="s">
        <v>549</v>
      </c>
      <c r="AA22" s="29" t="s">
        <v>550</v>
      </c>
      <c r="AB22" s="29" t="s">
        <v>24</v>
      </c>
      <c r="AC22" s="29" t="s">
        <v>16</v>
      </c>
      <c r="AD22" s="29">
        <v>97105.19</v>
      </c>
      <c r="AE22" s="29" t="s">
        <v>26</v>
      </c>
      <c r="AF22" s="29">
        <v>44425</v>
      </c>
      <c r="AG22" s="29">
        <v>1</v>
      </c>
      <c r="AH22" s="29" t="s">
        <v>18</v>
      </c>
      <c r="AI22" s="29" t="s">
        <v>72</v>
      </c>
      <c r="AJ22" s="29">
        <v>2.8465753424657536</v>
      </c>
      <c r="AK22" s="29" t="s">
        <v>20</v>
      </c>
      <c r="AN22" t="str">
        <v>Anni</v>
      </c>
      <c r="AO22" t="str">
        <v>Izzard</v>
      </c>
      <c r="AP22" t="str">
        <v>Male</v>
      </c>
      <c r="AQ22" t="str">
        <v>Human Resources</v>
      </c>
      <c r="AR22">
        <v>103494.94</v>
      </c>
      <c r="AS22" t="str">
        <v>Above 100k</v>
      </c>
      <c r="AT22">
        <v>43256</v>
      </c>
      <c r="AU22">
        <v>1</v>
      </c>
      <c r="AV22" t="str">
        <v>Permanent</v>
      </c>
      <c r="AW22" t="str">
        <v>Remote</v>
      </c>
      <c r="AX22">
        <v>6.0493150684931507</v>
      </c>
      <c r="AY22" t="str">
        <v>Full time</v>
      </c>
    </row>
    <row r="23" spans="2:51" x14ac:dyDescent="0.25">
      <c r="B23" t="str">
        <v>VT01893</v>
      </c>
      <c r="C23" t="str">
        <v>Lindy</v>
      </c>
      <c r="D23" t="str">
        <v>Guillet</v>
      </c>
      <c r="E23" t="str">
        <v>Male</v>
      </c>
      <c r="F23" t="str">
        <v>Training</v>
      </c>
      <c r="G23" s="33">
        <v>112778.28</v>
      </c>
      <c r="H23" t="str">
        <v>Above 100k</v>
      </c>
      <c r="I23" s="39">
        <v>43250</v>
      </c>
      <c r="J23">
        <v>1</v>
      </c>
      <c r="K23" t="str">
        <v>Fixed Term</v>
      </c>
      <c r="L23" t="str">
        <v>Remote</v>
      </c>
      <c r="M23">
        <v>6.065753424657534</v>
      </c>
      <c r="N23" t="str">
        <v>Full time</v>
      </c>
      <c r="S23" s="33"/>
      <c r="T23" s="33" t="e" cm="1">
        <f t="array" ref="T23">LARGE(_xlfn._xlws.FILTER(G17:G63,E17:E63="Male"),V18)</f>
        <v>#NUM!</v>
      </c>
      <c r="Z23" s="29" t="s">
        <v>699</v>
      </c>
      <c r="AA23" s="29" t="s">
        <v>700</v>
      </c>
      <c r="AB23" s="29" t="s">
        <v>15</v>
      </c>
      <c r="AC23" s="29" t="s">
        <v>32</v>
      </c>
      <c r="AD23" s="29">
        <v>84742.86</v>
      </c>
      <c r="AE23" s="29" t="s">
        <v>26</v>
      </c>
      <c r="AF23" s="29">
        <v>44098</v>
      </c>
      <c r="AG23" s="29">
        <v>1</v>
      </c>
      <c r="AH23" s="29" t="s">
        <v>18</v>
      </c>
      <c r="AI23" s="29" t="s">
        <v>77</v>
      </c>
      <c r="AJ23" s="29">
        <v>3.7424657534246575</v>
      </c>
      <c r="AK23" s="29" t="s">
        <v>20</v>
      </c>
      <c r="AN23" t="str">
        <v>Sidoney</v>
      </c>
      <c r="AO23" t="str">
        <v>Yitzhok</v>
      </c>
      <c r="AP23" t="str">
        <v>Female</v>
      </c>
      <c r="AQ23" t="str">
        <v>Engineering</v>
      </c>
      <c r="AR23">
        <v>118442.54</v>
      </c>
      <c r="AS23" t="str">
        <v>Above 100k</v>
      </c>
      <c r="AT23">
        <v>44193</v>
      </c>
      <c r="AU23">
        <v>1</v>
      </c>
      <c r="AV23" t="str">
        <v>Permanent</v>
      </c>
      <c r="AW23" t="str">
        <v>Auckland, New Zealand</v>
      </c>
      <c r="AX23">
        <v>3.4821917808219176</v>
      </c>
      <c r="AY23" t="str">
        <v>Full time</v>
      </c>
    </row>
    <row r="24" spans="2:51" x14ac:dyDescent="0.25">
      <c r="B24" t="str">
        <v>PR01159</v>
      </c>
      <c r="C24" t="str">
        <v>Mollie</v>
      </c>
      <c r="D24" t="str">
        <v>Hanway</v>
      </c>
      <c r="E24" t="str">
        <v>Male</v>
      </c>
      <c r="F24" t="str">
        <v>Engineering</v>
      </c>
      <c r="G24" s="33">
        <v>112645.99</v>
      </c>
      <c r="H24" t="str">
        <v>Above 100k</v>
      </c>
      <c r="I24" s="39">
        <v>43759</v>
      </c>
      <c r="J24">
        <v>0.6</v>
      </c>
      <c r="K24" t="str">
        <v>Permanent</v>
      </c>
      <c r="L24" t="str">
        <v>Seattle, USA</v>
      </c>
      <c r="M24">
        <v>4.6712328767123283</v>
      </c>
      <c r="N24" t="str">
        <v>Part time</v>
      </c>
      <c r="S24" s="33"/>
      <c r="T24" s="33" t="e" cm="1">
        <f t="array" ref="T24">LARGE(_xlfn._xlws.FILTER(G18:G64,E18:E64="Male"),V19)</f>
        <v>#NUM!</v>
      </c>
      <c r="Z24" s="29" t="s">
        <v>247</v>
      </c>
      <c r="AA24" s="29" t="s">
        <v>248</v>
      </c>
      <c r="AB24" s="29" t="s">
        <v>15</v>
      </c>
      <c r="AC24" s="29" t="s">
        <v>25</v>
      </c>
      <c r="AD24" s="29">
        <v>85918.61</v>
      </c>
      <c r="AE24" s="29" t="s">
        <v>26</v>
      </c>
      <c r="AF24" s="29">
        <v>43136</v>
      </c>
      <c r="AG24" s="29">
        <v>1</v>
      </c>
      <c r="AH24" s="29" t="s">
        <v>18</v>
      </c>
      <c r="AI24" s="29" t="s">
        <v>72</v>
      </c>
      <c r="AJ24" s="29">
        <v>6.3780821917808215</v>
      </c>
      <c r="AK24" s="29" t="s">
        <v>20</v>
      </c>
      <c r="AN24" t="str">
        <v>Gwenneth</v>
      </c>
      <c r="AO24" t="str">
        <v>Fealey</v>
      </c>
      <c r="AP24" t="str">
        <v>Female</v>
      </c>
      <c r="AQ24" t="str">
        <v>Engineering</v>
      </c>
      <c r="AR24">
        <v>114772.32</v>
      </c>
      <c r="AS24" t="str">
        <v>Above 100k</v>
      </c>
      <c r="AT24">
        <v>44251</v>
      </c>
      <c r="AU24">
        <v>1</v>
      </c>
      <c r="AV24" t="str">
        <v>Permanent</v>
      </c>
      <c r="AW24" t="str">
        <v>Columbus, USA</v>
      </c>
      <c r="AX24">
        <v>3.3232876712328765</v>
      </c>
      <c r="AY24" t="str">
        <v>Full time</v>
      </c>
    </row>
    <row r="25" spans="2:51" x14ac:dyDescent="0.25">
      <c r="B25" t="str">
        <v>VT04028</v>
      </c>
      <c r="C25" t="str">
        <v>Michale</v>
      </c>
      <c r="D25" t="str">
        <v>Rolf</v>
      </c>
      <c r="E25" t="str">
        <v>Male</v>
      </c>
      <c r="F25" t="str">
        <v>Services</v>
      </c>
      <c r="G25" s="33">
        <v>111815.49</v>
      </c>
      <c r="H25" t="str">
        <v>Above 100k</v>
      </c>
      <c r="I25" s="39">
        <v>43895</v>
      </c>
      <c r="J25">
        <v>0.7</v>
      </c>
      <c r="K25" t="str">
        <v>Temporary</v>
      </c>
      <c r="L25" t="str">
        <v>Remote</v>
      </c>
      <c r="M25">
        <v>4.2986301369863016</v>
      </c>
      <c r="N25" t="str">
        <v>Part time</v>
      </c>
      <c r="S25" s="33"/>
      <c r="Z25" s="29" t="s">
        <v>610</v>
      </c>
      <c r="AA25" s="29" t="s">
        <v>611</v>
      </c>
      <c r="AB25" s="29" t="s">
        <v>24</v>
      </c>
      <c r="AC25" s="29" t="s">
        <v>124</v>
      </c>
      <c r="AD25" s="29">
        <v>72502.61</v>
      </c>
      <c r="AE25" s="29" t="s">
        <v>26</v>
      </c>
      <c r="AF25" s="29">
        <v>44235</v>
      </c>
      <c r="AG25" s="29">
        <v>1</v>
      </c>
      <c r="AH25" s="29" t="s">
        <v>18</v>
      </c>
      <c r="AI25" s="29" t="s">
        <v>45</v>
      </c>
      <c r="AJ25" s="29">
        <v>3.3671232876712329</v>
      </c>
      <c r="AK25" s="29" t="s">
        <v>20</v>
      </c>
      <c r="AN25" t="str">
        <v>Deepit</v>
      </c>
      <c r="AO25" t="str">
        <v>Ranjana</v>
      </c>
      <c r="AP25" t="str">
        <v>Female</v>
      </c>
      <c r="AQ25" t="str">
        <v>Marketing</v>
      </c>
      <c r="AR25">
        <v>104903.79</v>
      </c>
      <c r="AS25" t="str">
        <v>Above 100k</v>
      </c>
      <c r="AT25">
        <v>43649</v>
      </c>
      <c r="AU25">
        <v>1</v>
      </c>
      <c r="AV25" t="str">
        <v>Permanent</v>
      </c>
      <c r="AW25" t="str">
        <v>Chennai, India</v>
      </c>
      <c r="AX25">
        <v>4.9726027397260273</v>
      </c>
      <c r="AY25" t="str">
        <v>Full time</v>
      </c>
    </row>
    <row r="26" spans="2:51" x14ac:dyDescent="0.25">
      <c r="B26" t="str">
        <v>VT04028</v>
      </c>
      <c r="C26" t="str">
        <v>Michale</v>
      </c>
      <c r="D26" t="str">
        <v>Rolf</v>
      </c>
      <c r="E26" t="str">
        <v>Male</v>
      </c>
      <c r="F26" t="str">
        <v>Services</v>
      </c>
      <c r="G26" s="33">
        <v>111815.49</v>
      </c>
      <c r="H26" t="str">
        <v>Above 100k</v>
      </c>
      <c r="I26" s="39">
        <v>43895</v>
      </c>
      <c r="J26">
        <v>0.7</v>
      </c>
      <c r="K26" t="str">
        <v>Temporary</v>
      </c>
      <c r="L26" t="str">
        <v>Remote</v>
      </c>
      <c r="M26">
        <v>4.2986301369863016</v>
      </c>
      <c r="N26" t="str">
        <v>Part time</v>
      </c>
      <c r="S26" s="33"/>
      <c r="Z26" s="29" t="s">
        <v>667</v>
      </c>
      <c r="AA26" s="29" t="s">
        <v>668</v>
      </c>
      <c r="AB26" s="29" t="s">
        <v>15</v>
      </c>
      <c r="AC26" s="29" t="s">
        <v>32</v>
      </c>
      <c r="AD26" s="29">
        <v>77096.05</v>
      </c>
      <c r="AE26" s="29" t="s">
        <v>26</v>
      </c>
      <c r="AF26" s="29">
        <v>43217</v>
      </c>
      <c r="AG26" s="29">
        <v>1</v>
      </c>
      <c r="AH26" s="29" t="s">
        <v>18</v>
      </c>
      <c r="AI26" s="29" t="s">
        <v>84</v>
      </c>
      <c r="AJ26" s="29">
        <v>6.1561643835616442</v>
      </c>
      <c r="AK26" s="29" t="s">
        <v>20</v>
      </c>
      <c r="AN26" t="str">
        <v>Syd</v>
      </c>
      <c r="AO26" t="str">
        <v>Fearn</v>
      </c>
      <c r="AP26" t="str">
        <v>Male</v>
      </c>
      <c r="AQ26" t="str">
        <v>Engineering</v>
      </c>
      <c r="AR26">
        <v>108872.77</v>
      </c>
      <c r="AS26" t="str">
        <v>Above 100k</v>
      </c>
      <c r="AT26">
        <v>43521</v>
      </c>
      <c r="AU26">
        <v>1</v>
      </c>
      <c r="AV26" t="str">
        <v>Permanent</v>
      </c>
      <c r="AW26" t="str">
        <v>Remote</v>
      </c>
      <c r="AX26">
        <v>5.3232876712328769</v>
      </c>
      <c r="AY26" t="str">
        <v>Full time</v>
      </c>
    </row>
    <row r="27" spans="2:51" x14ac:dyDescent="0.25">
      <c r="B27" t="str">
        <v>SQ04603</v>
      </c>
      <c r="C27" t="str">
        <v>Natalee</v>
      </c>
      <c r="D27" t="str">
        <v>Craiker</v>
      </c>
      <c r="E27" t="str">
        <v>Male</v>
      </c>
      <c r="F27" t="str">
        <v>Product Management</v>
      </c>
      <c r="G27" s="33">
        <v>111229.47</v>
      </c>
      <c r="H27" t="str">
        <v>Above 100k</v>
      </c>
      <c r="I27" s="39">
        <v>43402</v>
      </c>
      <c r="J27">
        <v>1</v>
      </c>
      <c r="K27" t="str">
        <v>Permanent</v>
      </c>
      <c r="L27" t="str">
        <v>Remote</v>
      </c>
      <c r="M27">
        <v>5.6493150684931503</v>
      </c>
      <c r="N27" t="str">
        <v>Full time</v>
      </c>
      <c r="S27" s="33"/>
      <c r="Z27" s="29" t="s">
        <v>142</v>
      </c>
      <c r="AA27" s="29" t="s">
        <v>143</v>
      </c>
      <c r="AB27" s="29" t="s">
        <v>24</v>
      </c>
      <c r="AC27" s="29" t="s">
        <v>58</v>
      </c>
      <c r="AD27" s="29">
        <v>50449.46</v>
      </c>
      <c r="AE27" s="29" t="s">
        <v>26</v>
      </c>
      <c r="AF27" s="29">
        <v>43418</v>
      </c>
      <c r="AG27" s="29">
        <v>0.8</v>
      </c>
      <c r="AH27" s="29" t="s">
        <v>18</v>
      </c>
      <c r="AI27" s="29" t="s">
        <v>77</v>
      </c>
      <c r="AJ27" s="29">
        <v>5.6054794520547944</v>
      </c>
      <c r="AK27" s="29" t="s">
        <v>28</v>
      </c>
      <c r="AN27" t="str">
        <v>Robinia</v>
      </c>
      <c r="AO27" t="str">
        <v>Scholling</v>
      </c>
      <c r="AP27" t="str">
        <v>Female</v>
      </c>
      <c r="AQ27" t="str">
        <v>Human Resources</v>
      </c>
      <c r="AR27">
        <v>100731.95</v>
      </c>
      <c r="AS27" t="str">
        <v>Above 100k</v>
      </c>
      <c r="AT27">
        <v>43936</v>
      </c>
      <c r="AU27">
        <v>1</v>
      </c>
      <c r="AV27" t="str">
        <v>Permanent</v>
      </c>
      <c r="AW27" t="str">
        <v>Auckland, New Zealand</v>
      </c>
      <c r="AX27">
        <v>4.1863013698630134</v>
      </c>
      <c r="AY27" t="str">
        <v>Full time</v>
      </c>
    </row>
    <row r="28" spans="2:51" x14ac:dyDescent="0.25">
      <c r="B28" t="str">
        <v>SQ00498</v>
      </c>
      <c r="C28" t="str">
        <v>Amery</v>
      </c>
      <c r="D28" t="str">
        <v>Ofer</v>
      </c>
      <c r="E28" t="str">
        <v>Female</v>
      </c>
      <c r="F28" t="str">
        <v>Legal</v>
      </c>
      <c r="G28" s="33">
        <v>111049.84</v>
      </c>
      <c r="H28" t="str">
        <v>Above 100k</v>
      </c>
      <c r="I28" s="39">
        <v>44393</v>
      </c>
      <c r="J28">
        <v>1</v>
      </c>
      <c r="K28" t="str">
        <v>Permanent</v>
      </c>
      <c r="L28" t="str">
        <v>Wellington, New Zealand</v>
      </c>
      <c r="M28">
        <v>2.9342465753424656</v>
      </c>
      <c r="N28" t="str">
        <v>Full time</v>
      </c>
      <c r="S28" s="33"/>
      <c r="Z28" s="29" t="s">
        <v>673</v>
      </c>
      <c r="AA28" s="29" t="s">
        <v>674</v>
      </c>
      <c r="AB28" s="29" t="s">
        <v>15</v>
      </c>
      <c r="AC28" s="29" t="s">
        <v>97</v>
      </c>
      <c r="AD28" s="29">
        <v>48525.71</v>
      </c>
      <c r="AE28" s="29" t="s">
        <v>65</v>
      </c>
      <c r="AF28" s="29">
        <v>43264</v>
      </c>
      <c r="AG28" s="29">
        <v>1</v>
      </c>
      <c r="AH28" s="29" t="s">
        <v>18</v>
      </c>
      <c r="AI28" s="29" t="s">
        <v>41</v>
      </c>
      <c r="AJ28" s="29">
        <v>6.0273972602739727</v>
      </c>
      <c r="AK28" s="29" t="s">
        <v>20</v>
      </c>
      <c r="AN28" t="str">
        <v>Ramalingam</v>
      </c>
      <c r="AO28" t="str">
        <v>Kothapeta</v>
      </c>
      <c r="AP28" t="str">
        <v>Need to check</v>
      </c>
      <c r="AQ28" t="str">
        <v>Accounting</v>
      </c>
      <c r="AR28">
        <v>107107.6</v>
      </c>
      <c r="AS28" t="str">
        <v>Above 100k</v>
      </c>
      <c r="AT28">
        <v>43325</v>
      </c>
      <c r="AU28">
        <v>0.9</v>
      </c>
      <c r="AV28" t="str">
        <v>Permanent</v>
      </c>
      <c r="AW28" t="str">
        <v>Chennai, India</v>
      </c>
      <c r="AX28">
        <v>5.86027397260274</v>
      </c>
      <c r="AY28" t="str">
        <v>Part time</v>
      </c>
    </row>
    <row r="29" spans="2:51" x14ac:dyDescent="0.25">
      <c r="B29" t="str">
        <v>VT04681</v>
      </c>
      <c r="C29" t="str">
        <v>Nickolai</v>
      </c>
      <c r="D29" t="str">
        <v>Artin</v>
      </c>
      <c r="E29" t="str">
        <v>Female</v>
      </c>
      <c r="F29" t="str">
        <v>Product Management</v>
      </c>
      <c r="G29" s="33">
        <v>110906.35</v>
      </c>
      <c r="H29" t="str">
        <v>Above 100k</v>
      </c>
      <c r="I29" s="39">
        <v>43434</v>
      </c>
      <c r="J29">
        <v>1</v>
      </c>
      <c r="K29" t="str">
        <v>Temporary</v>
      </c>
      <c r="L29" t="str">
        <v>Wellington, New Zealand</v>
      </c>
      <c r="M29">
        <v>5.5616438356164384</v>
      </c>
      <c r="N29" t="str">
        <v>Full time</v>
      </c>
      <c r="S29" s="33"/>
      <c r="Z29" s="29" t="s">
        <v>390</v>
      </c>
      <c r="AA29" s="29" t="s">
        <v>391</v>
      </c>
      <c r="AB29" s="29" t="s">
        <v>15</v>
      </c>
      <c r="AC29" s="29" t="s">
        <v>101</v>
      </c>
      <c r="AD29" s="29">
        <v>36547.58</v>
      </c>
      <c r="AE29" s="29" t="s">
        <v>65</v>
      </c>
      <c r="AF29" s="29">
        <v>43416</v>
      </c>
      <c r="AG29" s="29">
        <v>1</v>
      </c>
      <c r="AH29" s="29" t="s">
        <v>18</v>
      </c>
      <c r="AI29" s="29" t="s">
        <v>19</v>
      </c>
      <c r="AJ29" s="29">
        <v>5.6109589041095891</v>
      </c>
      <c r="AK29" s="29" t="s">
        <v>20</v>
      </c>
      <c r="AN29" t="str">
        <v>Freda</v>
      </c>
      <c r="AO29" t="str">
        <v>Legan</v>
      </c>
      <c r="AP29" t="str">
        <v>Female</v>
      </c>
      <c r="AQ29" t="str">
        <v>Sales</v>
      </c>
      <c r="AR29">
        <v>102129.37</v>
      </c>
      <c r="AS29" t="str">
        <v>Above 100k</v>
      </c>
      <c r="AT29">
        <v>44396</v>
      </c>
      <c r="AU29">
        <v>1</v>
      </c>
      <c r="AV29" t="str">
        <v>Permanent</v>
      </c>
      <c r="AW29" t="str">
        <v>Columbus, USA</v>
      </c>
      <c r="AX29">
        <v>2.9260273972602739</v>
      </c>
      <c r="AY29" t="str">
        <v>Full time</v>
      </c>
    </row>
    <row r="30" spans="2:51" x14ac:dyDescent="0.25">
      <c r="B30" t="str">
        <v>SQ00022</v>
      </c>
      <c r="C30" t="str">
        <v>Carlin</v>
      </c>
      <c r="D30" t="str">
        <v>Demke</v>
      </c>
      <c r="E30" t="str">
        <v>Male</v>
      </c>
      <c r="F30" t="str">
        <v>Business Development</v>
      </c>
      <c r="G30" s="33">
        <v>110042.37</v>
      </c>
      <c r="H30" t="str">
        <v>Above 100k</v>
      </c>
      <c r="I30" s="39">
        <v>43914</v>
      </c>
      <c r="J30">
        <v>1</v>
      </c>
      <c r="K30" t="str">
        <v>Permanent</v>
      </c>
      <c r="L30" t="str">
        <v>Columbus, USA</v>
      </c>
      <c r="M30">
        <v>4.2465753424657535</v>
      </c>
      <c r="N30" t="str">
        <v>Full time</v>
      </c>
      <c r="S30" s="33"/>
      <c r="Z30" s="29" t="s">
        <v>390</v>
      </c>
      <c r="AA30" s="29" t="s">
        <v>391</v>
      </c>
      <c r="AB30" s="29" t="s">
        <v>15</v>
      </c>
      <c r="AC30" s="29" t="s">
        <v>101</v>
      </c>
      <c r="AD30" s="29">
        <v>36547.58</v>
      </c>
      <c r="AE30" s="29" t="s">
        <v>65</v>
      </c>
      <c r="AF30" s="29">
        <v>43416</v>
      </c>
      <c r="AG30" s="29">
        <v>1</v>
      </c>
      <c r="AH30" s="29" t="s">
        <v>18</v>
      </c>
      <c r="AI30" s="29" t="s">
        <v>19</v>
      </c>
      <c r="AJ30" s="29">
        <v>5.6109589041095891</v>
      </c>
      <c r="AK30" s="29" t="s">
        <v>20</v>
      </c>
      <c r="AN30" t="str">
        <v>Revkah</v>
      </c>
      <c r="AO30" t="str">
        <v>Antonacci</v>
      </c>
      <c r="AP30" t="str">
        <v>Male</v>
      </c>
      <c r="AQ30" t="str">
        <v>Engineering</v>
      </c>
      <c r="AR30">
        <v>109143.17</v>
      </c>
      <c r="AS30" t="str">
        <v>Above 100k</v>
      </c>
      <c r="AT30">
        <v>43945</v>
      </c>
      <c r="AU30">
        <v>1</v>
      </c>
      <c r="AV30" t="str">
        <v>Permanent</v>
      </c>
      <c r="AW30" t="str">
        <v>Wellington, New Zealand</v>
      </c>
      <c r="AX30">
        <v>4.161643835616438</v>
      </c>
      <c r="AY30" t="str">
        <v>Full time</v>
      </c>
    </row>
    <row r="31" spans="2:51" x14ac:dyDescent="0.25">
      <c r="B31" t="str">
        <v>TN00579</v>
      </c>
      <c r="C31" t="str">
        <v>Rafaelita</v>
      </c>
      <c r="D31" t="str">
        <v>Blaksland</v>
      </c>
      <c r="E31" t="str">
        <v>Female</v>
      </c>
      <c r="F31" t="str">
        <v>Services</v>
      </c>
      <c r="G31" s="33">
        <v>109163.39</v>
      </c>
      <c r="H31" t="str">
        <v>Above 100k</v>
      </c>
      <c r="I31" s="39">
        <v>44019</v>
      </c>
      <c r="J31">
        <v>0.8</v>
      </c>
      <c r="K31" t="str">
        <v>Permanent</v>
      </c>
      <c r="L31" t="str">
        <v>Seattle, USA</v>
      </c>
      <c r="M31">
        <v>3.9589041095890409</v>
      </c>
      <c r="N31" t="str">
        <v>Part time</v>
      </c>
      <c r="S31" s="33"/>
      <c r="Z31" s="29" t="s">
        <v>337</v>
      </c>
      <c r="AA31" s="29" t="s">
        <v>338</v>
      </c>
      <c r="AB31" s="29" t="s">
        <v>15</v>
      </c>
      <c r="AC31" s="29" t="s">
        <v>124</v>
      </c>
      <c r="AD31" s="29">
        <v>115191.38</v>
      </c>
      <c r="AE31" s="29" t="s">
        <v>17</v>
      </c>
      <c r="AF31" s="29">
        <v>44004</v>
      </c>
      <c r="AG31" s="29">
        <v>1</v>
      </c>
      <c r="AH31" s="29" t="s">
        <v>18</v>
      </c>
      <c r="AI31" s="29" t="s">
        <v>41</v>
      </c>
      <c r="AJ31" s="29">
        <v>4</v>
      </c>
      <c r="AK31" s="29" t="s">
        <v>20</v>
      </c>
      <c r="AN31" t="str">
        <v>Natalee</v>
      </c>
      <c r="AO31" t="str">
        <v>Craiker</v>
      </c>
      <c r="AP31" t="str">
        <v>Male</v>
      </c>
      <c r="AQ31" t="str">
        <v>Product Management</v>
      </c>
      <c r="AR31">
        <v>111229.47</v>
      </c>
      <c r="AS31" t="str">
        <v>Above 100k</v>
      </c>
      <c r="AT31">
        <v>43402</v>
      </c>
      <c r="AU31">
        <v>1</v>
      </c>
      <c r="AV31" t="str">
        <v>Permanent</v>
      </c>
      <c r="AW31" t="str">
        <v>Remote</v>
      </c>
      <c r="AX31">
        <v>5.6493150684931503</v>
      </c>
      <c r="AY31" t="str">
        <v>Full time</v>
      </c>
    </row>
    <row r="32" spans="2:51" x14ac:dyDescent="0.25">
      <c r="B32" t="str">
        <v>SQ03733</v>
      </c>
      <c r="C32" t="str">
        <v>Revkah</v>
      </c>
      <c r="D32" t="str">
        <v>Antonacci</v>
      </c>
      <c r="E32" t="str">
        <v>Male</v>
      </c>
      <c r="F32" t="str">
        <v>Engineering</v>
      </c>
      <c r="G32" s="33">
        <v>109143.17</v>
      </c>
      <c r="H32" t="str">
        <v>Above 100k</v>
      </c>
      <c r="I32" s="39">
        <v>43945</v>
      </c>
      <c r="J32">
        <v>1</v>
      </c>
      <c r="K32" t="str">
        <v>Permanent</v>
      </c>
      <c r="L32" t="str">
        <v>Wellington, New Zealand</v>
      </c>
      <c r="M32">
        <v>4.161643835616438</v>
      </c>
      <c r="N32" t="str">
        <v>Full time</v>
      </c>
      <c r="S32" s="33"/>
      <c r="Z32" s="29" t="s">
        <v>534</v>
      </c>
      <c r="AA32" s="29" t="s">
        <v>535</v>
      </c>
      <c r="AB32" s="29" t="s">
        <v>24</v>
      </c>
      <c r="AC32" s="29" t="s">
        <v>16</v>
      </c>
      <c r="AD32" s="29">
        <v>58861.19</v>
      </c>
      <c r="AE32" s="29" t="s">
        <v>26</v>
      </c>
      <c r="AF32" s="29">
        <v>43654</v>
      </c>
      <c r="AG32" s="29">
        <v>1</v>
      </c>
      <c r="AH32" s="29" t="s">
        <v>18</v>
      </c>
      <c r="AI32" s="29" t="s">
        <v>72</v>
      </c>
      <c r="AJ32" s="29">
        <v>4.9589041095890414</v>
      </c>
      <c r="AK32" s="29" t="s">
        <v>20</v>
      </c>
      <c r="AN32" t="str">
        <v>Mick</v>
      </c>
      <c r="AO32" t="str">
        <v>Spraberry</v>
      </c>
      <c r="AP32" t="str">
        <v>Female</v>
      </c>
      <c r="AQ32" t="str">
        <v>Services</v>
      </c>
      <c r="AR32">
        <v>120000</v>
      </c>
      <c r="AS32" t="str">
        <v>Above 100k</v>
      </c>
      <c r="AT32">
        <v>43902</v>
      </c>
      <c r="AU32">
        <v>0.9</v>
      </c>
      <c r="AV32" t="str">
        <v>Permanent</v>
      </c>
      <c r="AW32" t="str">
        <v>Remote</v>
      </c>
      <c r="AX32">
        <v>4.279452054794521</v>
      </c>
      <c r="AY32" t="str">
        <v>Part time</v>
      </c>
    </row>
    <row r="33" spans="2:51" x14ac:dyDescent="0.25">
      <c r="B33" t="str">
        <v>SQ03116</v>
      </c>
      <c r="C33" t="str">
        <v>Syd</v>
      </c>
      <c r="D33" t="str">
        <v>Fearn</v>
      </c>
      <c r="E33" t="str">
        <v>Male</v>
      </c>
      <c r="F33" t="str">
        <v>Engineering</v>
      </c>
      <c r="G33" s="33">
        <v>108872.77</v>
      </c>
      <c r="H33" t="str">
        <v>Above 100k</v>
      </c>
      <c r="I33" s="39">
        <v>43521</v>
      </c>
      <c r="J33">
        <v>1</v>
      </c>
      <c r="K33" t="str">
        <v>Permanent</v>
      </c>
      <c r="L33" t="str">
        <v>Remote</v>
      </c>
      <c r="M33">
        <v>5.3232876712328769</v>
      </c>
      <c r="N33" t="str">
        <v>Full time</v>
      </c>
      <c r="S33" s="33"/>
      <c r="Z33" s="29" t="s">
        <v>343</v>
      </c>
      <c r="AA33" s="29" t="s">
        <v>344</v>
      </c>
      <c r="AB33" s="29" t="s">
        <v>24</v>
      </c>
      <c r="AC33" s="29" t="s">
        <v>50</v>
      </c>
      <c r="AD33" s="29">
        <v>75974.990000000005</v>
      </c>
      <c r="AE33" s="29" t="s">
        <v>26</v>
      </c>
      <c r="AF33" s="29">
        <v>44172</v>
      </c>
      <c r="AG33" s="29">
        <v>1</v>
      </c>
      <c r="AH33" s="29" t="s">
        <v>18</v>
      </c>
      <c r="AI33" s="29" t="s">
        <v>19</v>
      </c>
      <c r="AJ33" s="29">
        <v>3.5397260273972604</v>
      </c>
      <c r="AK33" s="29" t="s">
        <v>20</v>
      </c>
      <c r="AN33" t="str">
        <v>Collin</v>
      </c>
      <c r="AO33" t="str">
        <v>Jagson</v>
      </c>
      <c r="AP33" t="str">
        <v>Male</v>
      </c>
      <c r="AQ33" t="str">
        <v>Services</v>
      </c>
      <c r="AR33">
        <v>100424.23</v>
      </c>
      <c r="AS33" t="str">
        <v>Above 100k</v>
      </c>
      <c r="AT33">
        <v>43801</v>
      </c>
      <c r="AU33">
        <v>1</v>
      </c>
      <c r="AV33" t="str">
        <v>Permanent</v>
      </c>
      <c r="AW33" t="str">
        <v>Auckland, New Zealand</v>
      </c>
      <c r="AX33">
        <v>4.5561643835616437</v>
      </c>
      <c r="AY33" t="str">
        <v>Full time</v>
      </c>
    </row>
    <row r="34" spans="2:51" x14ac:dyDescent="0.25">
      <c r="B34" t="str">
        <v>SQ03476</v>
      </c>
      <c r="C34" t="str">
        <v>Ramalingam</v>
      </c>
      <c r="D34" t="str">
        <v>Kothapeta</v>
      </c>
      <c r="E34" t="str">
        <v>Need to check</v>
      </c>
      <c r="F34" t="str">
        <v>Accounting</v>
      </c>
      <c r="G34" s="33">
        <v>107107.6</v>
      </c>
      <c r="H34" t="str">
        <v>Above 100k</v>
      </c>
      <c r="I34" s="39">
        <v>43325</v>
      </c>
      <c r="J34">
        <v>0.9</v>
      </c>
      <c r="K34" t="str">
        <v>Permanent</v>
      </c>
      <c r="L34" t="str">
        <v>Chennai, India</v>
      </c>
      <c r="M34">
        <v>5.86027397260274</v>
      </c>
      <c r="N34" t="str">
        <v>Part time</v>
      </c>
      <c r="S34" s="33"/>
      <c r="Z34" s="29" t="s">
        <v>393</v>
      </c>
      <c r="AA34" s="29" t="s">
        <v>394</v>
      </c>
      <c r="AB34" s="29" t="s">
        <v>15</v>
      </c>
      <c r="AC34" s="29" t="s">
        <v>101</v>
      </c>
      <c r="AD34" s="29">
        <v>95954.02</v>
      </c>
      <c r="AE34" s="29" t="s">
        <v>26</v>
      </c>
      <c r="AF34" s="29">
        <v>43567</v>
      </c>
      <c r="AG34" s="29">
        <v>0.3</v>
      </c>
      <c r="AH34" s="29" t="s">
        <v>18</v>
      </c>
      <c r="AI34" s="29" t="s">
        <v>41</v>
      </c>
      <c r="AJ34" s="29">
        <v>5.1972602739726028</v>
      </c>
      <c r="AK34" s="29" t="s">
        <v>28</v>
      </c>
      <c r="AN34" t="str">
        <v>Rafaelita</v>
      </c>
      <c r="AO34" t="str">
        <v>Blaksland</v>
      </c>
      <c r="AP34" t="str">
        <v>Female</v>
      </c>
      <c r="AQ34" t="str">
        <v>Services</v>
      </c>
      <c r="AR34">
        <v>109163.39</v>
      </c>
      <c r="AS34" t="str">
        <v>Above 100k</v>
      </c>
      <c r="AT34">
        <v>44019</v>
      </c>
      <c r="AU34">
        <v>0.8</v>
      </c>
      <c r="AV34" t="str">
        <v>Permanent</v>
      </c>
      <c r="AW34" t="str">
        <v>Seattle, USA</v>
      </c>
      <c r="AX34">
        <v>3.9589041095890409</v>
      </c>
      <c r="AY34" t="str">
        <v>Part time</v>
      </c>
    </row>
    <row r="35" spans="2:51" x14ac:dyDescent="0.25">
      <c r="B35" t="str">
        <v>TN04058</v>
      </c>
      <c r="C35" t="str">
        <v>Subbarao</v>
      </c>
      <c r="D35" t="str">
        <v>Malladi</v>
      </c>
      <c r="E35" t="str">
        <v>Male</v>
      </c>
      <c r="F35" t="str">
        <v>Product Management</v>
      </c>
      <c r="G35" s="33">
        <v>106775.14</v>
      </c>
      <c r="H35" t="str">
        <v>Above 100k</v>
      </c>
      <c r="I35" s="39">
        <v>43563</v>
      </c>
      <c r="J35">
        <v>1</v>
      </c>
      <c r="K35" t="str">
        <v>Fixed Term</v>
      </c>
      <c r="L35" t="str">
        <v>Hyderabad, India</v>
      </c>
      <c r="M35">
        <v>5.2082191780821914</v>
      </c>
      <c r="N35" t="str">
        <v>Full time</v>
      </c>
      <c r="S35" s="33"/>
      <c r="Z35" s="29" t="s">
        <v>190</v>
      </c>
      <c r="AA35" s="29" t="s">
        <v>191</v>
      </c>
      <c r="AB35" s="29" t="s">
        <v>24</v>
      </c>
      <c r="AC35" s="29" t="s">
        <v>36</v>
      </c>
      <c r="AD35" s="29">
        <v>102934.09</v>
      </c>
      <c r="AE35" s="29" t="s">
        <v>17</v>
      </c>
      <c r="AF35" s="29">
        <v>44315</v>
      </c>
      <c r="AG35" s="29">
        <v>1</v>
      </c>
      <c r="AH35" s="29" t="s">
        <v>18</v>
      </c>
      <c r="AI35" s="29" t="s">
        <v>41</v>
      </c>
      <c r="AJ35" s="29">
        <v>3.1479452054794521</v>
      </c>
      <c r="AK35" s="29" t="s">
        <v>20</v>
      </c>
      <c r="AN35" t="str">
        <v>Cletus</v>
      </c>
      <c r="AO35" t="str">
        <v>McGarahan</v>
      </c>
      <c r="AP35" t="str">
        <v>Female</v>
      </c>
      <c r="AQ35" t="str">
        <v>Engineering</v>
      </c>
      <c r="AR35">
        <v>114425.19</v>
      </c>
      <c r="AS35" t="str">
        <v>Above 100k</v>
      </c>
      <c r="AT35">
        <v>43857</v>
      </c>
      <c r="AU35">
        <v>1</v>
      </c>
      <c r="AV35" t="str">
        <v>Permanent</v>
      </c>
      <c r="AW35" t="str">
        <v>Wellington, New Zealand</v>
      </c>
      <c r="AX35">
        <v>4.4027397260273968</v>
      </c>
      <c r="AY35" t="str">
        <v>Full time</v>
      </c>
    </row>
    <row r="36" spans="2:51" x14ac:dyDescent="0.25">
      <c r="B36" t="str">
        <v>TN04058</v>
      </c>
      <c r="C36" t="str">
        <v>Vasu</v>
      </c>
      <c r="D36" t="str">
        <v>Nandin</v>
      </c>
      <c r="E36" t="str">
        <v>Male</v>
      </c>
      <c r="F36" t="str">
        <v>Product Management</v>
      </c>
      <c r="G36" s="33">
        <v>106775.14</v>
      </c>
      <c r="H36" t="str">
        <v>Above 100k</v>
      </c>
      <c r="I36" s="39">
        <v>43563</v>
      </c>
      <c r="J36">
        <v>1</v>
      </c>
      <c r="K36" t="str">
        <v>Fixed Term</v>
      </c>
      <c r="L36" t="str">
        <v>Hyderabad, India</v>
      </c>
      <c r="M36">
        <v>5.2082191780821914</v>
      </c>
      <c r="N36" t="str">
        <v>Full time</v>
      </c>
      <c r="S36" s="33"/>
      <c r="Z36" s="29" t="s">
        <v>319</v>
      </c>
      <c r="AA36" s="29" t="s">
        <v>320</v>
      </c>
      <c r="AB36" s="29" t="s">
        <v>24</v>
      </c>
      <c r="AC36" s="29" t="s">
        <v>105</v>
      </c>
      <c r="AD36" s="29">
        <v>41934.71</v>
      </c>
      <c r="AE36" s="29" t="s">
        <v>65</v>
      </c>
      <c r="AF36" s="29">
        <v>43780</v>
      </c>
      <c r="AG36" s="29">
        <v>1</v>
      </c>
      <c r="AH36" s="29" t="s">
        <v>18</v>
      </c>
      <c r="AI36" s="29" t="s">
        <v>19</v>
      </c>
      <c r="AJ36" s="29">
        <v>4.6136986301369864</v>
      </c>
      <c r="AK36" s="29" t="s">
        <v>20</v>
      </c>
      <c r="AN36" t="str">
        <v>Subbarao</v>
      </c>
      <c r="AO36" t="str">
        <v>Malladi</v>
      </c>
      <c r="AP36" t="str">
        <v>Male</v>
      </c>
      <c r="AQ36" t="str">
        <v>Product Management</v>
      </c>
      <c r="AR36">
        <v>106775.14</v>
      </c>
      <c r="AS36" t="str">
        <v>Above 100k</v>
      </c>
      <c r="AT36">
        <v>43563</v>
      </c>
      <c r="AU36">
        <v>1</v>
      </c>
      <c r="AV36" t="str">
        <v>Fixed Term</v>
      </c>
      <c r="AW36" t="str">
        <v>Hyderabad, India</v>
      </c>
      <c r="AX36">
        <v>5.2082191780821914</v>
      </c>
      <c r="AY36" t="str">
        <v>Full time</v>
      </c>
    </row>
    <row r="37" spans="2:51" x14ac:dyDescent="0.25">
      <c r="B37" t="str">
        <v>VT04552</v>
      </c>
      <c r="C37" t="str">
        <v>Theresita</v>
      </c>
      <c r="D37" t="str">
        <v>Chasmer</v>
      </c>
      <c r="E37" t="str">
        <v>Female</v>
      </c>
      <c r="F37" t="str">
        <v>Product Management</v>
      </c>
      <c r="G37" s="33">
        <v>106665.67</v>
      </c>
      <c r="H37" t="str">
        <v>Above 100k</v>
      </c>
      <c r="I37" s="39">
        <v>43311</v>
      </c>
      <c r="J37">
        <v>1</v>
      </c>
      <c r="K37" t="str">
        <v>Temporary</v>
      </c>
      <c r="L37" t="str">
        <v>Columbus, USA</v>
      </c>
      <c r="M37">
        <v>5.8986301369863012</v>
      </c>
      <c r="N37" t="str">
        <v>Full time</v>
      </c>
      <c r="S37" s="33"/>
      <c r="Z37" s="29" t="s">
        <v>122</v>
      </c>
      <c r="AA37" s="29" t="s">
        <v>123</v>
      </c>
      <c r="AB37" s="29" t="s">
        <v>15</v>
      </c>
      <c r="AC37" s="29" t="s">
        <v>124</v>
      </c>
      <c r="AD37" s="29">
        <v>104335.03999999999</v>
      </c>
      <c r="AE37" s="29" t="s">
        <v>17</v>
      </c>
      <c r="AF37" s="29">
        <v>43874</v>
      </c>
      <c r="AG37" s="29">
        <v>1</v>
      </c>
      <c r="AH37" s="29" t="s">
        <v>18</v>
      </c>
      <c r="AI37" s="29" t="s">
        <v>72</v>
      </c>
      <c r="AJ37" s="29">
        <v>4.3561643835616435</v>
      </c>
      <c r="AK37" s="29" t="s">
        <v>20</v>
      </c>
      <c r="AN37" t="str">
        <v>Vasu</v>
      </c>
      <c r="AO37" t="str">
        <v>Nandin</v>
      </c>
      <c r="AP37" t="str">
        <v>Male</v>
      </c>
      <c r="AQ37" t="str">
        <v>Product Management</v>
      </c>
      <c r="AR37">
        <v>106775.14</v>
      </c>
      <c r="AS37" t="str">
        <v>Above 100k</v>
      </c>
      <c r="AT37">
        <v>43563</v>
      </c>
      <c r="AU37">
        <v>1</v>
      </c>
      <c r="AV37" t="str">
        <v>Fixed Term</v>
      </c>
      <c r="AW37" t="str">
        <v>Hyderabad, India</v>
      </c>
      <c r="AX37">
        <v>5.2082191780821914</v>
      </c>
      <c r="AY37" t="str">
        <v>Full time</v>
      </c>
    </row>
    <row r="38" spans="2:51" x14ac:dyDescent="0.25">
      <c r="B38" t="str">
        <v>VT04350</v>
      </c>
      <c r="C38" t="str">
        <v>Kulbhushan</v>
      </c>
      <c r="D38" t="str">
        <v>Moorthy</v>
      </c>
      <c r="E38" t="str">
        <v>Male</v>
      </c>
      <c r="F38" t="str">
        <v>Business Development</v>
      </c>
      <c r="G38" s="33">
        <v>106400.02</v>
      </c>
      <c r="H38" t="str">
        <v>Above 100k</v>
      </c>
      <c r="I38" s="39">
        <v>44021</v>
      </c>
      <c r="J38">
        <v>1</v>
      </c>
      <c r="K38" t="str">
        <v>Temporary</v>
      </c>
      <c r="L38" t="str">
        <v>Chennai, India</v>
      </c>
      <c r="M38">
        <v>3.9534246575342467</v>
      </c>
      <c r="N38" t="str">
        <v>Full time</v>
      </c>
      <c r="S38" s="33"/>
      <c r="Z38" s="29" t="s">
        <v>446</v>
      </c>
      <c r="AA38" s="29" t="s">
        <v>447</v>
      </c>
      <c r="AB38" s="29" t="s">
        <v>24</v>
      </c>
      <c r="AC38" s="29" t="s">
        <v>32</v>
      </c>
      <c r="AD38" s="29">
        <v>81897.789999999994</v>
      </c>
      <c r="AE38" s="29" t="s">
        <v>26</v>
      </c>
      <c r="AF38" s="29">
        <v>43146</v>
      </c>
      <c r="AG38" s="29">
        <v>1</v>
      </c>
      <c r="AH38" s="29" t="s">
        <v>18</v>
      </c>
      <c r="AI38" s="29" t="s">
        <v>77</v>
      </c>
      <c r="AJ38" s="29">
        <v>6.3506849315068497</v>
      </c>
      <c r="AK38" s="29" t="s">
        <v>20</v>
      </c>
      <c r="AN38" t="str">
        <v>Shaylyn</v>
      </c>
      <c r="AO38" t="str">
        <v>Ransbury</v>
      </c>
      <c r="AP38" t="str">
        <v>Female</v>
      </c>
      <c r="AQ38" t="str">
        <v>Support</v>
      </c>
      <c r="AR38">
        <v>100371.31</v>
      </c>
      <c r="AS38" t="str">
        <v>Above 100k</v>
      </c>
      <c r="AT38">
        <v>44067</v>
      </c>
      <c r="AU38">
        <v>0.8</v>
      </c>
      <c r="AV38" t="str">
        <v>Fixed Term</v>
      </c>
      <c r="AW38" t="str">
        <v>Auckland, New Zealand</v>
      </c>
      <c r="AX38">
        <v>3.8273972602739725</v>
      </c>
      <c r="AY38" t="str">
        <v>Part time</v>
      </c>
    </row>
    <row r="39" spans="2:51" x14ac:dyDescent="0.25">
      <c r="B39" t="str">
        <v>VT04350</v>
      </c>
      <c r="C39" t="str">
        <v>Lalit</v>
      </c>
      <c r="D39" t="str">
        <v>Kothari</v>
      </c>
      <c r="E39" t="str">
        <v>Male</v>
      </c>
      <c r="F39" t="str">
        <v>Business Development</v>
      </c>
      <c r="G39" s="33">
        <v>106400.02</v>
      </c>
      <c r="H39" t="str">
        <v>Above 100k</v>
      </c>
      <c r="I39" s="39">
        <v>44021</v>
      </c>
      <c r="J39">
        <v>1</v>
      </c>
      <c r="K39" t="str">
        <v>Temporary</v>
      </c>
      <c r="L39" t="str">
        <v>Chennai, India</v>
      </c>
      <c r="M39">
        <v>3.9534246575342467</v>
      </c>
      <c r="N39" t="str">
        <v>Full time</v>
      </c>
      <c r="S39" s="33"/>
      <c r="Z39" s="29" t="s">
        <v>708</v>
      </c>
      <c r="AA39" s="29" t="s">
        <v>709</v>
      </c>
      <c r="AB39" s="29" t="s">
        <v>24</v>
      </c>
      <c r="AC39" s="29" t="s">
        <v>16</v>
      </c>
      <c r="AD39" s="29">
        <v>78378.2</v>
      </c>
      <c r="AE39" s="29" t="s">
        <v>26</v>
      </c>
      <c r="AF39" s="29">
        <v>43465</v>
      </c>
      <c r="AG39" s="29">
        <v>0.4</v>
      </c>
      <c r="AH39" s="29" t="s">
        <v>18</v>
      </c>
      <c r="AI39" s="29" t="s">
        <v>19</v>
      </c>
      <c r="AJ39" s="29">
        <v>5.4767123287671229</v>
      </c>
      <c r="AK39" s="29" t="s">
        <v>28</v>
      </c>
      <c r="AN39" t="str">
        <v>Tristam</v>
      </c>
      <c r="AO39" t="str">
        <v>Cuming</v>
      </c>
      <c r="AP39" t="str">
        <v>Female</v>
      </c>
      <c r="AQ39" t="str">
        <v>Support</v>
      </c>
      <c r="AR39">
        <v>104038.9</v>
      </c>
      <c r="AS39" t="str">
        <v>Above 100k</v>
      </c>
      <c r="AT39">
        <v>43815</v>
      </c>
      <c r="AU39">
        <v>1</v>
      </c>
      <c r="AV39" t="str">
        <v>Fixed Term</v>
      </c>
      <c r="AW39" t="str">
        <v>Remote</v>
      </c>
      <c r="AX39">
        <v>4.5178082191780824</v>
      </c>
      <c r="AY39" t="str">
        <v>Full time</v>
      </c>
    </row>
    <row r="40" spans="2:51" x14ac:dyDescent="0.25">
      <c r="B40" t="str">
        <v>SQ02703</v>
      </c>
      <c r="C40" t="str">
        <v>Deepit</v>
      </c>
      <c r="D40" t="str">
        <v>Ranjana</v>
      </c>
      <c r="E40" t="str">
        <v>Female</v>
      </c>
      <c r="F40" t="str">
        <v>Marketing</v>
      </c>
      <c r="G40" s="33">
        <v>104903.79</v>
      </c>
      <c r="H40" t="str">
        <v>Above 100k</v>
      </c>
      <c r="I40" s="39">
        <v>43649</v>
      </c>
      <c r="J40">
        <v>1</v>
      </c>
      <c r="K40" t="str">
        <v>Permanent</v>
      </c>
      <c r="L40" t="str">
        <v>Chennai, India</v>
      </c>
      <c r="M40">
        <v>4.9726027397260273</v>
      </c>
      <c r="N40" t="str">
        <v>Full time</v>
      </c>
      <c r="S40" s="33"/>
      <c r="Z40" s="29" t="s">
        <v>116</v>
      </c>
      <c r="AA40" s="29" t="s">
        <v>117</v>
      </c>
      <c r="AB40" s="29" t="s">
        <v>24</v>
      </c>
      <c r="AC40" s="29" t="s">
        <v>97</v>
      </c>
      <c r="AD40" s="29">
        <v>61994.76</v>
      </c>
      <c r="AE40" s="29" t="s">
        <v>26</v>
      </c>
      <c r="AF40" s="29">
        <v>43794</v>
      </c>
      <c r="AG40" s="29">
        <v>0.3</v>
      </c>
      <c r="AH40" s="29" t="s">
        <v>18</v>
      </c>
      <c r="AI40" s="29" t="s">
        <v>41</v>
      </c>
      <c r="AJ40" s="29">
        <v>4.5753424657534243</v>
      </c>
      <c r="AK40" s="29" t="s">
        <v>28</v>
      </c>
      <c r="AN40" t="str">
        <v>Audry</v>
      </c>
      <c r="AO40" t="str">
        <v>Yu</v>
      </c>
      <c r="AP40" t="str">
        <v>Female</v>
      </c>
      <c r="AQ40" t="str">
        <v>Training</v>
      </c>
      <c r="AR40">
        <v>101187.36</v>
      </c>
      <c r="AS40" t="str">
        <v>Above 100k</v>
      </c>
      <c r="AT40">
        <v>43258</v>
      </c>
      <c r="AU40">
        <v>1</v>
      </c>
      <c r="AV40" t="str">
        <v>Fixed Term</v>
      </c>
      <c r="AW40" t="str">
        <v>Columbus, USA</v>
      </c>
      <c r="AX40">
        <v>6.043835616438356</v>
      </c>
      <c r="AY40" t="str">
        <v>Full time</v>
      </c>
    </row>
    <row r="41" spans="2:51" x14ac:dyDescent="0.25">
      <c r="B41" t="str">
        <v>PR04601</v>
      </c>
      <c r="C41" t="str">
        <v>Yedukondalu</v>
      </c>
      <c r="D41" t="str">
        <v>Panditula</v>
      </c>
      <c r="E41" t="str">
        <v>Need to check</v>
      </c>
      <c r="F41" t="str">
        <v>Support</v>
      </c>
      <c r="G41" s="33">
        <v>104802.63</v>
      </c>
      <c r="H41" t="str">
        <v>Above 100k</v>
      </c>
      <c r="I41" s="39">
        <v>44502</v>
      </c>
      <c r="J41">
        <v>1</v>
      </c>
      <c r="K41" t="str">
        <v>Permanent</v>
      </c>
      <c r="L41" t="str">
        <v>Hyderabad, India</v>
      </c>
      <c r="M41">
        <v>2.6356164383561644</v>
      </c>
      <c r="N41" t="str">
        <v>Full time</v>
      </c>
      <c r="S41" s="33"/>
      <c r="Z41" s="29" t="s">
        <v>217</v>
      </c>
      <c r="AA41" s="29" t="s">
        <v>218</v>
      </c>
      <c r="AB41" s="29" t="s">
        <v>15</v>
      </c>
      <c r="AC41" s="29" t="s">
        <v>54</v>
      </c>
      <c r="AD41" s="29">
        <v>37362.300000000003</v>
      </c>
      <c r="AE41" s="29" t="s">
        <v>65</v>
      </c>
      <c r="AF41" s="29">
        <v>43642</v>
      </c>
      <c r="AG41" s="29">
        <v>1</v>
      </c>
      <c r="AH41" s="29" t="s">
        <v>18</v>
      </c>
      <c r="AI41" s="29" t="s">
        <v>77</v>
      </c>
      <c r="AJ41" s="29">
        <v>4.9917808219178079</v>
      </c>
      <c r="AK41" s="29" t="s">
        <v>20</v>
      </c>
      <c r="AN41" t="str">
        <v>Geena</v>
      </c>
      <c r="AO41" t="str">
        <v>Raghavanpillai</v>
      </c>
      <c r="AP41" t="str">
        <v>Male</v>
      </c>
      <c r="AQ41" t="str">
        <v>Accounting</v>
      </c>
      <c r="AR41">
        <v>102515.81</v>
      </c>
      <c r="AS41" t="str">
        <v>Above 100k</v>
      </c>
      <c r="AT41">
        <v>43902</v>
      </c>
      <c r="AU41">
        <v>1</v>
      </c>
      <c r="AV41" t="str">
        <v>Fixed Term</v>
      </c>
      <c r="AW41" t="str">
        <v>Chennai, India</v>
      </c>
      <c r="AX41">
        <v>4.279452054794521</v>
      </c>
      <c r="AY41" t="str">
        <v>Full time</v>
      </c>
    </row>
    <row r="42" spans="2:51" x14ac:dyDescent="0.25">
      <c r="B42" t="str">
        <v>PR02288</v>
      </c>
      <c r="C42" t="str">
        <v>Althea</v>
      </c>
      <c r="D42" t="str">
        <v>Bronger</v>
      </c>
      <c r="E42" t="str">
        <v>Male</v>
      </c>
      <c r="F42" t="str">
        <v>Product Management</v>
      </c>
      <c r="G42" s="33">
        <v>104335.03999999999</v>
      </c>
      <c r="H42" t="str">
        <v>Above 100k</v>
      </c>
      <c r="I42" s="39">
        <v>43874</v>
      </c>
      <c r="J42">
        <v>1</v>
      </c>
      <c r="K42" t="str">
        <v>Permanent</v>
      </c>
      <c r="L42" t="str">
        <v>Columbus, USA</v>
      </c>
      <c r="M42">
        <v>4.3561643835616435</v>
      </c>
      <c r="N42" t="str">
        <v>Full time</v>
      </c>
      <c r="S42" s="33"/>
      <c r="Z42" s="29" t="s">
        <v>561</v>
      </c>
      <c r="AA42" s="29" t="s">
        <v>562</v>
      </c>
      <c r="AB42" s="29" t="s">
        <v>24</v>
      </c>
      <c r="AC42" s="29" t="s">
        <v>36</v>
      </c>
      <c r="AD42" s="29">
        <v>84745.93</v>
      </c>
      <c r="AE42" s="29" t="s">
        <v>26</v>
      </c>
      <c r="AF42" s="29">
        <v>43707</v>
      </c>
      <c r="AG42" s="29">
        <v>1</v>
      </c>
      <c r="AH42" s="29" t="s">
        <v>18</v>
      </c>
      <c r="AI42" s="29" t="s">
        <v>45</v>
      </c>
      <c r="AJ42" s="29">
        <v>4.8136986301369866</v>
      </c>
      <c r="AK42" s="29" t="s">
        <v>20</v>
      </c>
      <c r="AN42" t="str">
        <v>Lindy</v>
      </c>
      <c r="AO42" t="str">
        <v>Guillet</v>
      </c>
      <c r="AP42" t="str">
        <v>Male</v>
      </c>
      <c r="AQ42" t="str">
        <v>Training</v>
      </c>
      <c r="AR42">
        <v>112778.28</v>
      </c>
      <c r="AS42" t="str">
        <v>Above 100k</v>
      </c>
      <c r="AT42">
        <v>43250</v>
      </c>
      <c r="AU42">
        <v>1</v>
      </c>
      <c r="AV42" t="str">
        <v>Fixed Term</v>
      </c>
      <c r="AW42" t="str">
        <v>Remote</v>
      </c>
      <c r="AX42">
        <v>6.065753424657534</v>
      </c>
      <c r="AY42" t="str">
        <v>Full time</v>
      </c>
    </row>
    <row r="43" spans="2:51" x14ac:dyDescent="0.25">
      <c r="B43" t="str">
        <v>TN04740</v>
      </c>
      <c r="C43" t="str">
        <v>Tristam</v>
      </c>
      <c r="D43" t="str">
        <v>Cuming</v>
      </c>
      <c r="E43" t="str">
        <v>Female</v>
      </c>
      <c r="F43" t="str">
        <v>Support</v>
      </c>
      <c r="G43" s="33">
        <v>104038.9</v>
      </c>
      <c r="H43" t="str">
        <v>Above 100k</v>
      </c>
      <c r="I43" s="39">
        <v>43815</v>
      </c>
      <c r="J43">
        <v>1</v>
      </c>
      <c r="K43" t="str">
        <v>Fixed Term</v>
      </c>
      <c r="L43" t="str">
        <v>Remote</v>
      </c>
      <c r="M43">
        <v>4.5178082191780824</v>
      </c>
      <c r="N43" t="str">
        <v>Full time</v>
      </c>
      <c r="S43" s="33"/>
      <c r="Z43" s="29" t="s">
        <v>274</v>
      </c>
      <c r="AA43" s="29" t="s">
        <v>275</v>
      </c>
      <c r="AB43" s="29" t="s">
        <v>15</v>
      </c>
      <c r="AC43" s="29" t="s">
        <v>105</v>
      </c>
      <c r="AD43" s="29">
        <v>32192.15</v>
      </c>
      <c r="AE43" s="29" t="s">
        <v>65</v>
      </c>
      <c r="AF43" s="29">
        <v>44473</v>
      </c>
      <c r="AG43" s="29">
        <v>1</v>
      </c>
      <c r="AH43" s="29" t="s">
        <v>18</v>
      </c>
      <c r="AI43" s="29" t="s">
        <v>41</v>
      </c>
      <c r="AJ43" s="29">
        <v>2.7150684931506848</v>
      </c>
      <c r="AK43" s="29" t="s">
        <v>20</v>
      </c>
      <c r="AN43" t="str">
        <v>Lindy</v>
      </c>
      <c r="AO43" t="str">
        <v>Guillet</v>
      </c>
      <c r="AP43" t="str">
        <v>Male</v>
      </c>
      <c r="AQ43" t="str">
        <v>Training</v>
      </c>
      <c r="AR43">
        <v>112778.28</v>
      </c>
      <c r="AS43" t="str">
        <v>Above 100k</v>
      </c>
      <c r="AT43">
        <v>43250</v>
      </c>
      <c r="AU43">
        <v>1</v>
      </c>
      <c r="AV43" t="str">
        <v>Fixed Term</v>
      </c>
      <c r="AW43" t="str">
        <v>Remote</v>
      </c>
      <c r="AX43">
        <v>6.065753424657534</v>
      </c>
      <c r="AY43" t="str">
        <v>Full time</v>
      </c>
    </row>
    <row r="44" spans="2:51" x14ac:dyDescent="0.25">
      <c r="B44" t="str">
        <v>SQ02035</v>
      </c>
      <c r="C44" t="str">
        <v>Anni</v>
      </c>
      <c r="D44" t="str">
        <v>Izzard</v>
      </c>
      <c r="E44" t="str">
        <v>Male</v>
      </c>
      <c r="F44" t="str">
        <v>Human Resources</v>
      </c>
      <c r="G44" s="33">
        <v>103494.94</v>
      </c>
      <c r="H44" t="str">
        <v>Above 100k</v>
      </c>
      <c r="I44" s="39">
        <v>43256</v>
      </c>
      <c r="J44">
        <v>1</v>
      </c>
      <c r="K44" t="str">
        <v>Permanent</v>
      </c>
      <c r="L44" t="str">
        <v>Remote</v>
      </c>
      <c r="M44">
        <v>6.0493150684931507</v>
      </c>
      <c r="N44" t="str">
        <v>Full time</v>
      </c>
      <c r="S44" s="33"/>
      <c r="Z44" s="29" t="s">
        <v>643</v>
      </c>
      <c r="AA44" s="29" t="s">
        <v>644</v>
      </c>
      <c r="AB44" s="29" t="s">
        <v>15</v>
      </c>
      <c r="AC44" s="29" t="s">
        <v>50</v>
      </c>
      <c r="AD44" s="29">
        <v>36714.379999999997</v>
      </c>
      <c r="AE44" s="29" t="s">
        <v>65</v>
      </c>
      <c r="AF44" s="29">
        <v>44175</v>
      </c>
      <c r="AG44" s="29">
        <v>1</v>
      </c>
      <c r="AH44" s="29" t="s">
        <v>18</v>
      </c>
      <c r="AI44" s="29" t="s">
        <v>84</v>
      </c>
      <c r="AJ44" s="29">
        <v>3.5315068493150683</v>
      </c>
      <c r="AK44" s="29" t="s">
        <v>20</v>
      </c>
      <c r="AN44" t="str">
        <v>Alexis</v>
      </c>
      <c r="AO44" t="str">
        <v>Gotfrey</v>
      </c>
      <c r="AP44" t="str">
        <v>Male</v>
      </c>
      <c r="AQ44" t="str">
        <v>Engineering</v>
      </c>
      <c r="AR44">
        <v>114465.93</v>
      </c>
      <c r="AS44" t="str">
        <v>Above 100k</v>
      </c>
      <c r="AT44">
        <v>43291</v>
      </c>
      <c r="AU44">
        <v>1</v>
      </c>
      <c r="AV44" t="str">
        <v>Temporary</v>
      </c>
      <c r="AW44" t="str">
        <v>Wellington, New Zealand</v>
      </c>
      <c r="AX44">
        <v>5.9534246575342467</v>
      </c>
      <c r="AY44" t="str">
        <v>Full time</v>
      </c>
    </row>
    <row r="45" spans="2:51" x14ac:dyDescent="0.25">
      <c r="B45" t="str">
        <v>SQ02035</v>
      </c>
      <c r="C45" t="str">
        <v>Anni</v>
      </c>
      <c r="D45" t="str">
        <v>Izzard</v>
      </c>
      <c r="E45" t="str">
        <v>Male</v>
      </c>
      <c r="F45" t="str">
        <v>Human Resources</v>
      </c>
      <c r="G45" s="33">
        <v>103494.94</v>
      </c>
      <c r="H45" t="str">
        <v>Above 100k</v>
      </c>
      <c r="I45" s="39">
        <v>43256</v>
      </c>
      <c r="J45">
        <v>1</v>
      </c>
      <c r="K45" t="str">
        <v>Permanent</v>
      </c>
      <c r="L45" t="str">
        <v>Remote</v>
      </c>
      <c r="M45">
        <v>6.0493150684931507</v>
      </c>
      <c r="N45" t="str">
        <v>Full time</v>
      </c>
      <c r="S45" s="33"/>
      <c r="Z45" s="29" t="s">
        <v>119</v>
      </c>
      <c r="AA45" s="29" t="s">
        <v>120</v>
      </c>
      <c r="AB45" s="29" t="s">
        <v>24</v>
      </c>
      <c r="AC45" s="29" t="s">
        <v>32</v>
      </c>
      <c r="AD45" s="29">
        <v>89690.38</v>
      </c>
      <c r="AE45" s="29" t="s">
        <v>26</v>
      </c>
      <c r="AF45" s="29">
        <v>43206</v>
      </c>
      <c r="AG45" s="29">
        <v>1</v>
      </c>
      <c r="AH45" s="29" t="s">
        <v>18</v>
      </c>
      <c r="AI45" s="29" t="s">
        <v>45</v>
      </c>
      <c r="AJ45" s="29">
        <v>6.1863013698630134</v>
      </c>
      <c r="AK45" s="29" t="s">
        <v>20</v>
      </c>
      <c r="AN45" t="str">
        <v>Shellysheldon</v>
      </c>
      <c r="AO45" t="str">
        <v>Mahady</v>
      </c>
      <c r="AP45" t="str">
        <v>Male</v>
      </c>
      <c r="AQ45" t="str">
        <v>Training</v>
      </c>
      <c r="AR45">
        <v>114691.03</v>
      </c>
      <c r="AS45" t="str">
        <v>Above 100k</v>
      </c>
      <c r="AT45">
        <v>44039</v>
      </c>
      <c r="AU45">
        <v>1</v>
      </c>
      <c r="AV45" t="str">
        <v>Temporary</v>
      </c>
      <c r="AW45" t="str">
        <v>Wellington, New Zealand</v>
      </c>
      <c r="AX45">
        <v>3.904109589041096</v>
      </c>
      <c r="AY45" t="str">
        <v>Full time</v>
      </c>
    </row>
    <row r="46" spans="2:51" x14ac:dyDescent="0.25">
      <c r="B46" t="str">
        <v>PR02208</v>
      </c>
      <c r="C46" t="str">
        <v>Gowri</v>
      </c>
      <c r="D46" t="str">
        <v>Sankar</v>
      </c>
      <c r="E46" t="str">
        <v>Female</v>
      </c>
      <c r="F46" t="str">
        <v>Training</v>
      </c>
      <c r="G46" s="33">
        <v>102934.09</v>
      </c>
      <c r="H46" t="str">
        <v>Above 100k</v>
      </c>
      <c r="I46" s="39">
        <v>44315</v>
      </c>
      <c r="J46">
        <v>1</v>
      </c>
      <c r="K46" t="str">
        <v>Permanent</v>
      </c>
      <c r="L46" t="str">
        <v>Hyderabad, India</v>
      </c>
      <c r="M46">
        <v>3.1479452054794521</v>
      </c>
      <c r="N46" t="str">
        <v>Full time</v>
      </c>
      <c r="S46" s="33"/>
      <c r="Z46" s="29" t="s">
        <v>470</v>
      </c>
      <c r="AA46" s="29" t="s">
        <v>471</v>
      </c>
      <c r="AB46" s="29" t="s">
        <v>24</v>
      </c>
      <c r="AC46" s="29" t="s">
        <v>105</v>
      </c>
      <c r="AD46" s="29">
        <v>39535.49</v>
      </c>
      <c r="AE46" s="29" t="s">
        <v>65</v>
      </c>
      <c r="AF46" s="29">
        <v>43397</v>
      </c>
      <c r="AG46" s="29">
        <v>0.3</v>
      </c>
      <c r="AH46" s="29" t="s">
        <v>18</v>
      </c>
      <c r="AI46" s="29" t="s">
        <v>19</v>
      </c>
      <c r="AJ46" s="29">
        <v>5.6630136986301371</v>
      </c>
      <c r="AK46" s="29" t="s">
        <v>28</v>
      </c>
      <c r="AN46" t="str">
        <v>Alic</v>
      </c>
      <c r="AO46" t="str">
        <v>Bagg</v>
      </c>
      <c r="AP46" t="str">
        <v>Male</v>
      </c>
      <c r="AQ46" t="str">
        <v>Legal</v>
      </c>
      <c r="AR46">
        <v>113747.56</v>
      </c>
      <c r="AS46" t="str">
        <v>Above 100k</v>
      </c>
      <c r="AT46">
        <v>44270</v>
      </c>
      <c r="AU46">
        <v>0.7</v>
      </c>
      <c r="AV46" t="str">
        <v>Temporary</v>
      </c>
      <c r="AW46" t="str">
        <v>Columbus, USA</v>
      </c>
      <c r="AX46">
        <v>3.2712328767123289</v>
      </c>
      <c r="AY46" t="str">
        <v>Part time</v>
      </c>
    </row>
    <row r="47" spans="2:51" x14ac:dyDescent="0.25">
      <c r="B47" t="str">
        <v>VT01762</v>
      </c>
      <c r="C47" t="str">
        <v>Geena</v>
      </c>
      <c r="D47" t="str">
        <v>Raghavanpillai</v>
      </c>
      <c r="E47" t="str">
        <v>Male</v>
      </c>
      <c r="F47" t="str">
        <v>Accounting</v>
      </c>
      <c r="G47" s="33">
        <v>102515.81</v>
      </c>
      <c r="H47" t="str">
        <v>Above 100k</v>
      </c>
      <c r="I47" s="39">
        <v>43902</v>
      </c>
      <c r="J47">
        <v>1</v>
      </c>
      <c r="K47" t="str">
        <v>Fixed Term</v>
      </c>
      <c r="L47" t="str">
        <v>Chennai, India</v>
      </c>
      <c r="M47">
        <v>4.279452054794521</v>
      </c>
      <c r="N47" t="str">
        <v>Full time</v>
      </c>
      <c r="S47" s="33"/>
      <c r="Z47" s="29" t="s">
        <v>103</v>
      </c>
      <c r="AA47" s="29" t="s">
        <v>104</v>
      </c>
      <c r="AB47" s="29" t="s">
        <v>15</v>
      </c>
      <c r="AC47" s="29" t="s">
        <v>105</v>
      </c>
      <c r="AD47" s="29">
        <v>62195.47</v>
      </c>
      <c r="AE47" s="29" t="s">
        <v>26</v>
      </c>
      <c r="AF47" s="29">
        <v>44434</v>
      </c>
      <c r="AG47" s="29">
        <v>1</v>
      </c>
      <c r="AH47" s="29" t="s">
        <v>18</v>
      </c>
      <c r="AI47" s="29" t="s">
        <v>19</v>
      </c>
      <c r="AJ47" s="29">
        <v>2.8219178082191783</v>
      </c>
      <c r="AK47" s="29" t="s">
        <v>20</v>
      </c>
      <c r="AN47" t="str">
        <v>Alic</v>
      </c>
      <c r="AO47" t="str">
        <v>Bagg</v>
      </c>
      <c r="AP47" t="str">
        <v>Male</v>
      </c>
      <c r="AQ47" t="str">
        <v>Legal</v>
      </c>
      <c r="AR47">
        <v>113747.56</v>
      </c>
      <c r="AS47" t="str">
        <v>Above 100k</v>
      </c>
      <c r="AT47">
        <v>44270</v>
      </c>
      <c r="AU47">
        <v>0.7</v>
      </c>
      <c r="AV47" t="str">
        <v>Temporary</v>
      </c>
      <c r="AW47" t="str">
        <v>Columbus, USA</v>
      </c>
      <c r="AX47">
        <v>3.2712328767123289</v>
      </c>
      <c r="AY47" t="str">
        <v>Part time</v>
      </c>
    </row>
    <row r="48" spans="2:51" x14ac:dyDescent="0.25">
      <c r="B48" t="str">
        <v>SQ03491</v>
      </c>
      <c r="C48" t="str">
        <v>Freda</v>
      </c>
      <c r="D48" t="str">
        <v>Legan</v>
      </c>
      <c r="E48" t="str">
        <v>Female</v>
      </c>
      <c r="F48" t="str">
        <v>Sales</v>
      </c>
      <c r="G48" s="33">
        <v>102129.37</v>
      </c>
      <c r="H48" t="str">
        <v>Above 100k</v>
      </c>
      <c r="I48" s="39">
        <v>44396</v>
      </c>
      <c r="J48">
        <v>1</v>
      </c>
      <c r="K48" t="str">
        <v>Permanent</v>
      </c>
      <c r="L48" t="str">
        <v>Columbus, USA</v>
      </c>
      <c r="M48">
        <v>2.9260273972602739</v>
      </c>
      <c r="N48" t="str">
        <v>Full time</v>
      </c>
      <c r="S48" s="33"/>
      <c r="Z48" s="29" t="s">
        <v>220</v>
      </c>
      <c r="AA48" s="29" t="s">
        <v>221</v>
      </c>
      <c r="AB48" s="29" t="s">
        <v>15</v>
      </c>
      <c r="AC48" s="29" t="s">
        <v>97</v>
      </c>
      <c r="AD48" s="29">
        <v>72876.91</v>
      </c>
      <c r="AE48" s="29" t="s">
        <v>26</v>
      </c>
      <c r="AF48" s="29">
        <v>43837</v>
      </c>
      <c r="AG48" s="29">
        <v>1</v>
      </c>
      <c r="AH48" s="29" t="s">
        <v>18</v>
      </c>
      <c r="AI48" s="29" t="s">
        <v>19</v>
      </c>
      <c r="AJ48" s="29">
        <v>4.4575342465753423</v>
      </c>
      <c r="AK48" s="29" t="s">
        <v>20</v>
      </c>
      <c r="AN48" t="str">
        <v>Michale</v>
      </c>
      <c r="AO48" t="str">
        <v>Rolf</v>
      </c>
      <c r="AP48" t="str">
        <v>Male</v>
      </c>
      <c r="AQ48" t="str">
        <v>Services</v>
      </c>
      <c r="AR48">
        <v>111815.49</v>
      </c>
      <c r="AS48" t="str">
        <v>Above 100k</v>
      </c>
      <c r="AT48">
        <v>43895</v>
      </c>
      <c r="AU48">
        <v>0.7</v>
      </c>
      <c r="AV48" t="str">
        <v>Temporary</v>
      </c>
      <c r="AW48" t="str">
        <v>Remote</v>
      </c>
      <c r="AX48">
        <v>4.2986301369863016</v>
      </c>
      <c r="AY48" t="str">
        <v>Part time</v>
      </c>
    </row>
    <row r="49" spans="2:51" x14ac:dyDescent="0.25">
      <c r="B49" t="str">
        <v>VT01684</v>
      </c>
      <c r="C49" t="str">
        <v>Audry</v>
      </c>
      <c r="D49" t="str">
        <v>Yu</v>
      </c>
      <c r="E49" t="str">
        <v>Female</v>
      </c>
      <c r="F49" t="str">
        <v>Training</v>
      </c>
      <c r="G49" s="33">
        <v>101187.36</v>
      </c>
      <c r="H49" t="str">
        <v>Above 100k</v>
      </c>
      <c r="I49" s="39">
        <v>43258</v>
      </c>
      <c r="J49">
        <v>1</v>
      </c>
      <c r="K49" t="str">
        <v>Fixed Term</v>
      </c>
      <c r="L49" t="str">
        <v>Columbus, USA</v>
      </c>
      <c r="M49">
        <v>6.043835616438356</v>
      </c>
      <c r="N49" t="str">
        <v>Full time</v>
      </c>
      <c r="S49" s="33"/>
      <c r="Z49" s="29" t="s">
        <v>322</v>
      </c>
      <c r="AA49" s="29" t="s">
        <v>323</v>
      </c>
      <c r="AB49" s="29" t="s">
        <v>15</v>
      </c>
      <c r="AC49" s="29" t="s">
        <v>131</v>
      </c>
      <c r="AD49" s="29">
        <v>66572.58</v>
      </c>
      <c r="AE49" s="29" t="s">
        <v>26</v>
      </c>
      <c r="AF49" s="29">
        <v>44193</v>
      </c>
      <c r="AG49" s="29">
        <v>1</v>
      </c>
      <c r="AH49" s="29" t="s">
        <v>18</v>
      </c>
      <c r="AI49" s="29" t="s">
        <v>84</v>
      </c>
      <c r="AJ49" s="29">
        <v>3.4821917808219176</v>
      </c>
      <c r="AK49" s="29" t="s">
        <v>20</v>
      </c>
      <c r="AN49" t="str">
        <v>Michale</v>
      </c>
      <c r="AO49" t="str">
        <v>Rolf</v>
      </c>
      <c r="AP49" t="str">
        <v>Male</v>
      </c>
      <c r="AQ49" t="str">
        <v>Services</v>
      </c>
      <c r="AR49">
        <v>111815.49</v>
      </c>
      <c r="AS49" t="str">
        <v>Above 100k</v>
      </c>
      <c r="AT49">
        <v>43895</v>
      </c>
      <c r="AU49">
        <v>0.7</v>
      </c>
      <c r="AV49" t="str">
        <v>Temporary</v>
      </c>
      <c r="AW49" t="str">
        <v>Remote</v>
      </c>
      <c r="AX49">
        <v>4.2986301369863016</v>
      </c>
      <c r="AY49" t="str">
        <v>Part time</v>
      </c>
    </row>
    <row r="50" spans="2:51" x14ac:dyDescent="0.25">
      <c r="B50" t="str">
        <v>SQ03387</v>
      </c>
      <c r="C50" t="str">
        <v>Robinia</v>
      </c>
      <c r="D50" t="str">
        <v>Scholling</v>
      </c>
      <c r="E50" t="str">
        <v>Female</v>
      </c>
      <c r="F50" t="str">
        <v>Human Resources</v>
      </c>
      <c r="G50" s="33">
        <v>100731.95</v>
      </c>
      <c r="H50" t="str">
        <v>Above 100k</v>
      </c>
      <c r="I50" s="39">
        <v>43936</v>
      </c>
      <c r="J50">
        <v>1</v>
      </c>
      <c r="K50" t="str">
        <v>Permanent</v>
      </c>
      <c r="L50" t="str">
        <v>Auckland, New Zealand</v>
      </c>
      <c r="M50">
        <v>4.1863013698630134</v>
      </c>
      <c r="N50" t="str">
        <v>Full time</v>
      </c>
      <c r="S50" s="33"/>
      <c r="Z50" s="29" t="s">
        <v>713</v>
      </c>
      <c r="AA50" s="29" t="s">
        <v>714</v>
      </c>
      <c r="AB50" s="29" t="s">
        <v>15</v>
      </c>
      <c r="AC50" s="29" t="s">
        <v>131</v>
      </c>
      <c r="AD50" s="29">
        <v>66572.58</v>
      </c>
      <c r="AE50" s="29" t="s">
        <v>26</v>
      </c>
      <c r="AF50" s="29">
        <v>44193</v>
      </c>
      <c r="AG50" s="29">
        <v>1</v>
      </c>
      <c r="AH50" s="29" t="s">
        <v>18</v>
      </c>
      <c r="AI50" s="29" t="s">
        <v>84</v>
      </c>
      <c r="AJ50" s="29">
        <v>3.4821917808219176</v>
      </c>
      <c r="AK50" s="29" t="s">
        <v>20</v>
      </c>
      <c r="AN50" t="str">
        <v>Prasanna</v>
      </c>
      <c r="AO50" t="str">
        <v>Lakshmi</v>
      </c>
      <c r="AP50" t="str">
        <v>Female</v>
      </c>
      <c r="AQ50" t="str">
        <v>Training</v>
      </c>
      <c r="AR50">
        <v>116767.63</v>
      </c>
      <c r="AS50" t="str">
        <v>Above 100k</v>
      </c>
      <c r="AT50">
        <v>43949</v>
      </c>
      <c r="AU50">
        <v>0.4</v>
      </c>
      <c r="AV50" t="str">
        <v>Temporary</v>
      </c>
      <c r="AW50" t="str">
        <v>Chennai, India</v>
      </c>
      <c r="AX50">
        <v>4.1506849315068495</v>
      </c>
      <c r="AY50" t="str">
        <v>Part time</v>
      </c>
    </row>
    <row r="51" spans="2:51" x14ac:dyDescent="0.25">
      <c r="B51" t="str">
        <v>SQ04665</v>
      </c>
      <c r="C51" t="str">
        <v>Collin</v>
      </c>
      <c r="D51" t="str">
        <v>Jagson</v>
      </c>
      <c r="E51" t="str">
        <v>Male</v>
      </c>
      <c r="F51" t="str">
        <v>Services</v>
      </c>
      <c r="G51" s="33">
        <v>100424.23</v>
      </c>
      <c r="H51" t="str">
        <v>Above 100k</v>
      </c>
      <c r="I51" s="39">
        <v>43801</v>
      </c>
      <c r="J51">
        <v>1</v>
      </c>
      <c r="K51" t="str">
        <v>Permanent</v>
      </c>
      <c r="L51" t="str">
        <v>Auckland, New Zealand</v>
      </c>
      <c r="M51">
        <v>4.5561643835616437</v>
      </c>
      <c r="N51" t="str">
        <v>Full time</v>
      </c>
      <c r="S51" s="33"/>
      <c r="Z51" s="29" t="s">
        <v>199</v>
      </c>
      <c r="AA51" s="29" t="s">
        <v>200</v>
      </c>
      <c r="AB51" s="29" t="s">
        <v>24</v>
      </c>
      <c r="AC51" s="29" t="s">
        <v>97</v>
      </c>
      <c r="AD51" s="29">
        <v>35943.620000000003</v>
      </c>
      <c r="AE51" s="29" t="s">
        <v>65</v>
      </c>
      <c r="AF51" s="29">
        <v>44078</v>
      </c>
      <c r="AG51" s="29">
        <v>1</v>
      </c>
      <c r="AH51" s="29" t="s">
        <v>18</v>
      </c>
      <c r="AI51" s="29" t="s">
        <v>72</v>
      </c>
      <c r="AJ51" s="29">
        <v>3.7972602739726029</v>
      </c>
      <c r="AK51" s="29" t="s">
        <v>20</v>
      </c>
      <c r="AN51" t="str">
        <v>Baruna</v>
      </c>
      <c r="AO51" t="str">
        <v>Ogale</v>
      </c>
      <c r="AP51" t="str">
        <v>Female</v>
      </c>
      <c r="AQ51" t="str">
        <v>Training</v>
      </c>
      <c r="AR51">
        <v>116767.63</v>
      </c>
      <c r="AS51" t="str">
        <v>Above 100k</v>
      </c>
      <c r="AT51">
        <v>43949</v>
      </c>
      <c r="AU51">
        <v>0.4</v>
      </c>
      <c r="AV51" t="str">
        <v>Temporary</v>
      </c>
      <c r="AW51" t="str">
        <v>Chennai, India</v>
      </c>
      <c r="AX51">
        <v>4.1506849315068495</v>
      </c>
      <c r="AY51" t="str">
        <v>Part time</v>
      </c>
    </row>
    <row r="52" spans="2:51" x14ac:dyDescent="0.25">
      <c r="B52" t="str">
        <v>TN04246</v>
      </c>
      <c r="C52" t="str">
        <v>Shaylyn</v>
      </c>
      <c r="D52" t="str">
        <v>Ransbury</v>
      </c>
      <c r="E52" t="str">
        <v>Female</v>
      </c>
      <c r="F52" t="str">
        <v>Support</v>
      </c>
      <c r="G52" s="33">
        <v>100371.31</v>
      </c>
      <c r="H52" t="str">
        <v>Above 100k</v>
      </c>
      <c r="I52" s="39">
        <v>44067</v>
      </c>
      <c r="J52">
        <v>0.8</v>
      </c>
      <c r="K52" t="str">
        <v>Fixed Term</v>
      </c>
      <c r="L52" t="str">
        <v>Auckland, New Zealand</v>
      </c>
      <c r="M52">
        <v>3.8273972602739725</v>
      </c>
      <c r="N52" t="str">
        <v>Part time</v>
      </c>
      <c r="S52" s="33"/>
      <c r="Z52" s="29" t="s">
        <v>502</v>
      </c>
      <c r="AA52" s="29" t="s">
        <v>503</v>
      </c>
      <c r="AB52" s="29" t="s">
        <v>15</v>
      </c>
      <c r="AC52" s="29" t="s">
        <v>101</v>
      </c>
      <c r="AD52" s="29">
        <v>119022.49</v>
      </c>
      <c r="AE52" s="29" t="s">
        <v>17</v>
      </c>
      <c r="AF52" s="29">
        <v>44431</v>
      </c>
      <c r="AG52" s="29">
        <v>1</v>
      </c>
      <c r="AH52" s="29" t="s">
        <v>18</v>
      </c>
      <c r="AI52" s="29" t="s">
        <v>77</v>
      </c>
      <c r="AJ52" s="29">
        <v>2.8301369863013699</v>
      </c>
      <c r="AK52" s="29" t="s">
        <v>20</v>
      </c>
      <c r="AN52" t="str">
        <v>Kulbhushan</v>
      </c>
      <c r="AO52" t="str">
        <v>Moorthy</v>
      </c>
      <c r="AP52" t="str">
        <v>Male</v>
      </c>
      <c r="AQ52" t="str">
        <v>Business Development</v>
      </c>
      <c r="AR52">
        <v>106400.02</v>
      </c>
      <c r="AS52" t="str">
        <v>Above 100k</v>
      </c>
      <c r="AT52">
        <v>44021</v>
      </c>
      <c r="AU52">
        <v>1</v>
      </c>
      <c r="AV52" t="str">
        <v>Temporary</v>
      </c>
      <c r="AW52" t="str">
        <v>Chennai, India</v>
      </c>
      <c r="AX52">
        <v>3.9534246575342467</v>
      </c>
      <c r="AY52" t="str">
        <v>Full time</v>
      </c>
    </row>
    <row r="53" spans="2:51" x14ac:dyDescent="0.25">
      <c r="S53" s="33"/>
      <c r="Z53" s="29" t="s">
        <v>259</v>
      </c>
      <c r="AA53" s="29" t="s">
        <v>260</v>
      </c>
      <c r="AB53" s="29" t="s">
        <v>15</v>
      </c>
      <c r="AC53" s="29" t="s">
        <v>54</v>
      </c>
      <c r="AD53" s="29">
        <v>65699.02</v>
      </c>
      <c r="AE53" s="29" t="s">
        <v>26</v>
      </c>
      <c r="AF53" s="29">
        <v>43951</v>
      </c>
      <c r="AG53" s="29">
        <v>1</v>
      </c>
      <c r="AH53" s="29" t="s">
        <v>18</v>
      </c>
      <c r="AI53" s="29" t="s">
        <v>72</v>
      </c>
      <c r="AJ53" s="29">
        <v>4.1452054794520548</v>
      </c>
      <c r="AK53" s="29" t="s">
        <v>20</v>
      </c>
      <c r="AN53" t="str">
        <v>Lalit</v>
      </c>
      <c r="AO53" t="str">
        <v>Kothari</v>
      </c>
      <c r="AP53" t="str">
        <v>Male</v>
      </c>
      <c r="AQ53" t="str">
        <v>Business Development</v>
      </c>
      <c r="AR53">
        <v>106400.02</v>
      </c>
      <c r="AS53" t="str">
        <v>Above 100k</v>
      </c>
      <c r="AT53">
        <v>44021</v>
      </c>
      <c r="AU53">
        <v>1</v>
      </c>
      <c r="AV53" t="str">
        <v>Temporary</v>
      </c>
      <c r="AW53" t="str">
        <v>Chennai, India</v>
      </c>
      <c r="AX53">
        <v>3.9534246575342467</v>
      </c>
      <c r="AY53" t="str">
        <v>Full time</v>
      </c>
    </row>
    <row r="54" spans="2:51" x14ac:dyDescent="0.25">
      <c r="S54" s="33"/>
      <c r="Z54" s="29" t="s">
        <v>729</v>
      </c>
      <c r="AA54" s="29" t="s">
        <v>730</v>
      </c>
      <c r="AB54" s="29" t="s">
        <v>24</v>
      </c>
      <c r="AC54" s="29" t="s">
        <v>105</v>
      </c>
      <c r="AD54" s="29">
        <v>47551.89</v>
      </c>
      <c r="AE54" s="29" t="s">
        <v>65</v>
      </c>
      <c r="AF54" s="29">
        <v>43468</v>
      </c>
      <c r="AG54" s="29">
        <v>1</v>
      </c>
      <c r="AH54" s="29" t="s">
        <v>18</v>
      </c>
      <c r="AI54" s="29" t="s">
        <v>77</v>
      </c>
      <c r="AJ54" s="29">
        <v>5.4684931506849317</v>
      </c>
      <c r="AK54" s="29" t="s">
        <v>20</v>
      </c>
      <c r="AN54" t="str">
        <v>Theresita</v>
      </c>
      <c r="AO54" t="str">
        <v>Chasmer</v>
      </c>
      <c r="AP54" t="str">
        <v>Female</v>
      </c>
      <c r="AQ54" t="str">
        <v>Product Management</v>
      </c>
      <c r="AR54">
        <v>106665.67</v>
      </c>
      <c r="AS54" t="str">
        <v>Above 100k</v>
      </c>
      <c r="AT54">
        <v>43311</v>
      </c>
      <c r="AU54">
        <v>1</v>
      </c>
      <c r="AV54" t="str">
        <v>Temporary</v>
      </c>
      <c r="AW54" t="str">
        <v>Columbus, USA</v>
      </c>
      <c r="AX54">
        <v>5.8986301369863012</v>
      </c>
      <c r="AY54" t="str">
        <v>Full time</v>
      </c>
    </row>
    <row r="55" spans="2:51" x14ac:dyDescent="0.25">
      <c r="S55" s="33"/>
      <c r="Z55" s="29" t="s">
        <v>283</v>
      </c>
      <c r="AA55" s="29" t="s">
        <v>284</v>
      </c>
      <c r="AB55" s="29" t="s">
        <v>24</v>
      </c>
      <c r="AC55" s="29" t="s">
        <v>25</v>
      </c>
      <c r="AD55" s="29">
        <v>80695.740000000005</v>
      </c>
      <c r="AE55" s="29" t="s">
        <v>26</v>
      </c>
      <c r="AF55" s="29">
        <v>43787</v>
      </c>
      <c r="AG55" s="29">
        <v>0.8</v>
      </c>
      <c r="AH55" s="29" t="s">
        <v>18</v>
      </c>
      <c r="AI55" s="29" t="s">
        <v>72</v>
      </c>
      <c r="AJ55" s="29">
        <v>4.5945205479452058</v>
      </c>
      <c r="AK55" s="29" t="s">
        <v>28</v>
      </c>
      <c r="AN55" t="str">
        <v>Nickolai</v>
      </c>
      <c r="AO55" t="str">
        <v>Artin</v>
      </c>
      <c r="AP55" t="str">
        <v>Female</v>
      </c>
      <c r="AQ55" t="str">
        <v>Product Management</v>
      </c>
      <c r="AR55">
        <v>110906.35</v>
      </c>
      <c r="AS55" t="str">
        <v>Above 100k</v>
      </c>
      <c r="AT55">
        <v>43434</v>
      </c>
      <c r="AU55">
        <v>1</v>
      </c>
      <c r="AV55" t="str">
        <v>Temporary</v>
      </c>
      <c r="AW55" t="str">
        <v>Wellington, New Zealand</v>
      </c>
      <c r="AX55">
        <v>5.5616438356164384</v>
      </c>
      <c r="AY55" t="str">
        <v>Full time</v>
      </c>
    </row>
    <row r="56" spans="2:51" x14ac:dyDescent="0.25">
      <c r="B56" s="64" t="s">
        <v>780</v>
      </c>
      <c r="C56" s="64"/>
      <c r="D56" s="64"/>
      <c r="E56" s="64"/>
      <c r="S56" s="33"/>
      <c r="Z56" s="29" t="s">
        <v>414</v>
      </c>
      <c r="AA56" s="29" t="s">
        <v>415</v>
      </c>
      <c r="AB56" s="29" t="s">
        <v>24</v>
      </c>
      <c r="AC56" s="29" t="s">
        <v>58</v>
      </c>
      <c r="AD56" s="29">
        <v>92336.08</v>
      </c>
      <c r="AE56" s="29" t="s">
        <v>26</v>
      </c>
      <c r="AF56" s="29">
        <v>44431</v>
      </c>
      <c r="AG56" s="29">
        <v>1</v>
      </c>
      <c r="AH56" s="29" t="s">
        <v>18</v>
      </c>
      <c r="AI56" s="29" t="s">
        <v>41</v>
      </c>
      <c r="AJ56" s="29">
        <v>2.8301369863013699</v>
      </c>
      <c r="AK56" s="29" t="s">
        <v>20</v>
      </c>
    </row>
    <row r="57" spans="2:51" x14ac:dyDescent="0.25">
      <c r="B57" s="67" t="s">
        <v>781</v>
      </c>
      <c r="C57" s="67"/>
      <c r="D57" s="67"/>
      <c r="E57" s="67"/>
      <c r="F57" t="s">
        <v>782</v>
      </c>
      <c r="Z57" s="29" t="s">
        <v>70</v>
      </c>
      <c r="AA57" s="29" t="s">
        <v>71</v>
      </c>
      <c r="AB57" s="29" t="s">
        <v>24</v>
      </c>
      <c r="AC57" s="29" t="s">
        <v>25</v>
      </c>
      <c r="AD57" s="29">
        <v>69192.850000000006</v>
      </c>
      <c r="AE57" s="29" t="s">
        <v>26</v>
      </c>
      <c r="AF57" s="29">
        <v>44305</v>
      </c>
      <c r="AG57" s="29">
        <v>1</v>
      </c>
      <c r="AH57" s="29" t="s">
        <v>18</v>
      </c>
      <c r="AI57" s="29" t="s">
        <v>72</v>
      </c>
      <c r="AJ57" s="29">
        <v>3.1753424657534248</v>
      </c>
      <c r="AK57" s="29" t="s">
        <v>20</v>
      </c>
    </row>
    <row r="58" spans="2:51" x14ac:dyDescent="0.25">
      <c r="C58" s="67" t="s">
        <v>783</v>
      </c>
      <c r="D58" s="67"/>
      <c r="E58" s="26">
        <v>100000</v>
      </c>
      <c r="Z58" s="29" t="s">
        <v>47</v>
      </c>
      <c r="AA58" s="29" t="s">
        <v>48</v>
      </c>
      <c r="AB58" s="29" t="s">
        <v>49</v>
      </c>
      <c r="AC58" s="29" t="s">
        <v>50</v>
      </c>
      <c r="AD58" s="29">
        <v>104802.63</v>
      </c>
      <c r="AE58" s="29" t="s">
        <v>17</v>
      </c>
      <c r="AF58" s="29">
        <v>44502</v>
      </c>
      <c r="AG58" s="29">
        <v>1</v>
      </c>
      <c r="AH58" s="29" t="s">
        <v>18</v>
      </c>
      <c r="AI58" s="29" t="s">
        <v>41</v>
      </c>
      <c r="AJ58" s="29">
        <v>2.6356164383561644</v>
      </c>
      <c r="AK58" s="29" t="s">
        <v>20</v>
      </c>
    </row>
    <row r="59" spans="2:51" x14ac:dyDescent="0.25">
      <c r="B59" s="37" t="str" cm="1">
        <f t="array" ref="B59:F59">_xlfn.CHOOSECOLS(staff[#Headers],1,2,3,5,6)</f>
        <v>Emp ID</v>
      </c>
      <c r="C59" s="37" t="str">
        <v>First Name</v>
      </c>
      <c r="D59" s="37" t="str">
        <v>Last Name</v>
      </c>
      <c r="E59" s="26" t="str">
        <v>Department</v>
      </c>
      <c r="F59" s="40" t="str">
        <v>Salary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 spans="2:51" x14ac:dyDescent="0.25">
      <c r="B60" t="str" cm="1">
        <f t="array" ref="B60:F106">_xlfn.CHOOSECOLS(_xlfn._xlws.FILTER(staff[],staff[Salary]&gt;E58,"Not Found"),1,2,3,5,6)</f>
        <v>PR00147</v>
      </c>
      <c r="C60" t="str">
        <v>Minerva</v>
      </c>
      <c r="D60" t="str">
        <v>Ricardot</v>
      </c>
      <c r="E60" t="str">
        <v>Engineering</v>
      </c>
      <c r="F60" s="33">
        <v>120000</v>
      </c>
      <c r="G60" s="33"/>
      <c r="Z60" s="29" t="s">
        <v>22</v>
      </c>
      <c r="AA60" s="29" t="s">
        <v>23</v>
      </c>
      <c r="AB60" s="29" t="s">
        <v>24</v>
      </c>
      <c r="AC60" s="29" t="s">
        <v>25</v>
      </c>
      <c r="AD60" s="29">
        <v>98000</v>
      </c>
      <c r="AE60" s="29" t="s">
        <v>26</v>
      </c>
      <c r="AF60" s="29">
        <v>43710</v>
      </c>
      <c r="AG60" s="29">
        <v>0.9</v>
      </c>
      <c r="AH60" s="29" t="s">
        <v>18</v>
      </c>
      <c r="AI60" s="29" t="s">
        <v>27</v>
      </c>
      <c r="AJ60" s="29">
        <v>4.8054794520547945</v>
      </c>
      <c r="AK60" s="29" t="s">
        <v>28</v>
      </c>
    </row>
    <row r="61" spans="2:51" x14ac:dyDescent="0.25">
      <c r="B61" t="str">
        <v>SQ04612</v>
      </c>
      <c r="C61" t="str">
        <v>Mick</v>
      </c>
      <c r="D61" t="str">
        <v>Spraberry</v>
      </c>
      <c r="E61" t="str">
        <v>Services</v>
      </c>
      <c r="F61" s="33">
        <v>120000</v>
      </c>
      <c r="G61" s="33"/>
      <c r="Z61" s="29" t="s">
        <v>625</v>
      </c>
      <c r="AA61" s="29" t="s">
        <v>626</v>
      </c>
      <c r="AB61" s="29" t="s">
        <v>24</v>
      </c>
      <c r="AC61" s="29" t="s">
        <v>105</v>
      </c>
      <c r="AD61" s="29">
        <v>77045.440000000002</v>
      </c>
      <c r="AE61" s="29" t="s">
        <v>26</v>
      </c>
      <c r="AF61" s="29">
        <v>43636</v>
      </c>
      <c r="AG61" s="29">
        <v>1</v>
      </c>
      <c r="AH61" s="29" t="s">
        <v>18</v>
      </c>
      <c r="AI61" s="29" t="s">
        <v>19</v>
      </c>
      <c r="AJ61" s="29">
        <v>5.0082191780821921</v>
      </c>
      <c r="AK61" s="29" t="s">
        <v>20</v>
      </c>
    </row>
    <row r="62" spans="2:51" x14ac:dyDescent="0.25">
      <c r="B62" t="str">
        <v>PR03886</v>
      </c>
      <c r="C62" t="str">
        <v>Edd</v>
      </c>
      <c r="D62" t="str">
        <v>MacKnockiter</v>
      </c>
      <c r="E62" t="str">
        <v>Accounting</v>
      </c>
      <c r="F62" s="33">
        <v>119022.49</v>
      </c>
      <c r="G62" s="33"/>
      <c r="Z62" s="29" t="s">
        <v>435</v>
      </c>
      <c r="AA62" s="29" t="s">
        <v>436</v>
      </c>
      <c r="AB62" s="29" t="s">
        <v>15</v>
      </c>
      <c r="AC62" s="29" t="s">
        <v>25</v>
      </c>
      <c r="AD62" s="29">
        <v>110042.37</v>
      </c>
      <c r="AE62" s="29" t="s">
        <v>17</v>
      </c>
      <c r="AF62" s="29">
        <v>43914</v>
      </c>
      <c r="AG62" s="29">
        <v>1</v>
      </c>
      <c r="AH62" s="29" t="s">
        <v>18</v>
      </c>
      <c r="AI62" s="29" t="s">
        <v>72</v>
      </c>
      <c r="AJ62" s="29">
        <v>4.2465753424657535</v>
      </c>
      <c r="AK62" s="29" t="s">
        <v>20</v>
      </c>
    </row>
    <row r="63" spans="2:51" x14ac:dyDescent="0.25">
      <c r="B63" t="str">
        <v>SQ00144</v>
      </c>
      <c r="C63" t="str">
        <v>Collen</v>
      </c>
      <c r="D63" t="str">
        <v>Dunbleton</v>
      </c>
      <c r="E63" t="str">
        <v>Engineering</v>
      </c>
      <c r="F63" s="33">
        <v>118976.16</v>
      </c>
      <c r="G63" s="33"/>
      <c r="Z63" s="29" t="s">
        <v>579</v>
      </c>
      <c r="AA63" s="29" t="s">
        <v>580</v>
      </c>
      <c r="AB63" s="29" t="s">
        <v>15</v>
      </c>
      <c r="AC63" s="29" t="s">
        <v>58</v>
      </c>
      <c r="AD63" s="29">
        <v>62281.24</v>
      </c>
      <c r="AE63" s="29" t="s">
        <v>26</v>
      </c>
      <c r="AF63" s="29">
        <v>43272</v>
      </c>
      <c r="AG63" s="29">
        <v>1</v>
      </c>
      <c r="AH63" s="29" t="s">
        <v>18</v>
      </c>
      <c r="AI63" s="29" t="s">
        <v>19</v>
      </c>
      <c r="AJ63" s="29">
        <v>6.0054794520547947</v>
      </c>
      <c r="AK63" s="29" t="s">
        <v>20</v>
      </c>
    </row>
    <row r="64" spans="2:51" x14ac:dyDescent="0.25">
      <c r="B64" t="str">
        <v>SQ02174</v>
      </c>
      <c r="C64" t="str">
        <v>Sidoney</v>
      </c>
      <c r="D64" t="str">
        <v>Yitzhok</v>
      </c>
      <c r="E64" t="str">
        <v>Engineering</v>
      </c>
      <c r="F64" s="33">
        <v>118442.54</v>
      </c>
      <c r="G64" s="33"/>
      <c r="Z64" s="29" t="s">
        <v>511</v>
      </c>
      <c r="AA64" s="29" t="s">
        <v>512</v>
      </c>
      <c r="AB64" s="29" t="s">
        <v>24</v>
      </c>
      <c r="AC64" s="29" t="s">
        <v>36</v>
      </c>
      <c r="AD64" s="29">
        <v>86010.54</v>
      </c>
      <c r="AE64" s="29" t="s">
        <v>26</v>
      </c>
      <c r="AF64" s="29">
        <v>43164</v>
      </c>
      <c r="AG64" s="29">
        <v>1</v>
      </c>
      <c r="AH64" s="29" t="s">
        <v>18</v>
      </c>
      <c r="AI64" s="29" t="s">
        <v>84</v>
      </c>
      <c r="AJ64" s="29">
        <v>6.3013698630136989</v>
      </c>
      <c r="AK64" s="29" t="s">
        <v>20</v>
      </c>
    </row>
    <row r="65" spans="2:37" x14ac:dyDescent="0.25">
      <c r="B65" t="str">
        <v>VT04093</v>
      </c>
      <c r="C65" t="str">
        <v>Prasanna</v>
      </c>
      <c r="D65" t="str">
        <v>Lakshmi</v>
      </c>
      <c r="E65" t="str">
        <v>Training</v>
      </c>
      <c r="F65" s="33">
        <v>116767.63</v>
      </c>
      <c r="G65" s="33"/>
      <c r="Z65" s="29" t="s">
        <v>43</v>
      </c>
      <c r="AA65" s="29" t="s">
        <v>44</v>
      </c>
      <c r="AB65" s="29" t="s">
        <v>15</v>
      </c>
      <c r="AC65" s="29" t="s">
        <v>16</v>
      </c>
      <c r="AD65" s="29">
        <v>118976.16</v>
      </c>
      <c r="AE65" s="29" t="s">
        <v>17</v>
      </c>
      <c r="AF65" s="29">
        <v>44120</v>
      </c>
      <c r="AG65" s="29">
        <v>1</v>
      </c>
      <c r="AH65" s="29" t="s">
        <v>18</v>
      </c>
      <c r="AI65" s="29" t="s">
        <v>45</v>
      </c>
      <c r="AJ65" s="29">
        <v>3.6821917808219178</v>
      </c>
      <c r="AK65" s="29" t="s">
        <v>20</v>
      </c>
    </row>
    <row r="66" spans="2:37" x14ac:dyDescent="0.25">
      <c r="B66" t="str">
        <v>VT04093</v>
      </c>
      <c r="C66" t="str">
        <v>Baruna</v>
      </c>
      <c r="D66" t="str">
        <v>Ogale</v>
      </c>
      <c r="E66" t="str">
        <v>Training</v>
      </c>
      <c r="F66" s="33">
        <v>116767.63</v>
      </c>
      <c r="G66" s="33"/>
      <c r="Z66" s="29" t="s">
        <v>606</v>
      </c>
      <c r="AA66" s="29" t="s">
        <v>607</v>
      </c>
      <c r="AB66" s="29" t="s">
        <v>24</v>
      </c>
      <c r="AC66" s="29" t="s">
        <v>32</v>
      </c>
      <c r="AD66" s="29">
        <v>71229.42</v>
      </c>
      <c r="AE66" s="29" t="s">
        <v>26</v>
      </c>
      <c r="AF66" s="29">
        <v>44166</v>
      </c>
      <c r="AG66" s="29">
        <v>1</v>
      </c>
      <c r="AH66" s="29" t="s">
        <v>18</v>
      </c>
      <c r="AI66" s="29" t="s">
        <v>41</v>
      </c>
      <c r="AJ66" s="29">
        <v>3.5561643835616437</v>
      </c>
      <c r="AK66" s="29" t="s">
        <v>20</v>
      </c>
    </row>
    <row r="67" spans="2:37" x14ac:dyDescent="0.25">
      <c r="B67" t="str">
        <v>PR02010</v>
      </c>
      <c r="C67" t="str">
        <v>Prerana</v>
      </c>
      <c r="D67" t="str">
        <v>Nishita</v>
      </c>
      <c r="E67" t="str">
        <v>Product Management</v>
      </c>
      <c r="F67" s="33">
        <v>115191.38</v>
      </c>
      <c r="G67" s="33"/>
      <c r="Z67" s="29" t="s">
        <v>658</v>
      </c>
      <c r="AA67" s="29" t="s">
        <v>659</v>
      </c>
      <c r="AB67" s="29" t="s">
        <v>24</v>
      </c>
      <c r="AC67" s="29" t="s">
        <v>131</v>
      </c>
      <c r="AD67" s="29">
        <v>61213.01</v>
      </c>
      <c r="AE67" s="29" t="s">
        <v>26</v>
      </c>
      <c r="AF67" s="29">
        <v>44365</v>
      </c>
      <c r="AG67" s="29">
        <v>1</v>
      </c>
      <c r="AH67" s="29" t="s">
        <v>18</v>
      </c>
      <c r="AI67" s="29" t="s">
        <v>84</v>
      </c>
      <c r="AJ67" s="29">
        <v>3.010958904109589</v>
      </c>
      <c r="AK67" s="29" t="s">
        <v>20</v>
      </c>
    </row>
    <row r="68" spans="2:37" x14ac:dyDescent="0.25">
      <c r="B68" t="str">
        <v>SQ02624</v>
      </c>
      <c r="C68" t="str">
        <v>Gwenneth</v>
      </c>
      <c r="D68" t="str">
        <v>Fealey</v>
      </c>
      <c r="E68" t="str">
        <v>Engineering</v>
      </c>
      <c r="F68" s="33">
        <v>114772.32</v>
      </c>
      <c r="G68" s="33"/>
      <c r="Z68" s="29" t="s">
        <v>187</v>
      </c>
      <c r="AA68" s="29" t="s">
        <v>188</v>
      </c>
      <c r="AB68" s="29" t="s">
        <v>15</v>
      </c>
      <c r="AC68" s="29" t="s">
        <v>54</v>
      </c>
      <c r="AD68" s="29">
        <v>40753.54</v>
      </c>
      <c r="AE68" s="29" t="s">
        <v>65</v>
      </c>
      <c r="AF68" s="29">
        <v>43152</v>
      </c>
      <c r="AG68" s="29">
        <v>0.6</v>
      </c>
      <c r="AH68" s="29" t="s">
        <v>18</v>
      </c>
      <c r="AI68" s="29" t="s">
        <v>45</v>
      </c>
      <c r="AJ68" s="29">
        <v>6.3342465753424655</v>
      </c>
      <c r="AK68" s="29" t="s">
        <v>28</v>
      </c>
    </row>
    <row r="69" spans="2:37" x14ac:dyDescent="0.25">
      <c r="B69" t="str">
        <v>VT02801</v>
      </c>
      <c r="C69" t="str">
        <v>Shellysheldon</v>
      </c>
      <c r="D69" t="str">
        <v>Mahady</v>
      </c>
      <c r="E69" t="str">
        <v>Training</v>
      </c>
      <c r="F69" s="33">
        <v>114691.03</v>
      </c>
      <c r="G69" s="33"/>
      <c r="Z69" s="29" t="s">
        <v>319</v>
      </c>
      <c r="AA69" s="29" t="s">
        <v>320</v>
      </c>
      <c r="AB69" s="29" t="s">
        <v>24</v>
      </c>
      <c r="AC69" s="29" t="s">
        <v>105</v>
      </c>
      <c r="AD69" s="29">
        <v>41934.71</v>
      </c>
      <c r="AE69" s="29" t="s">
        <v>65</v>
      </c>
      <c r="AF69" s="29">
        <v>43943</v>
      </c>
      <c r="AG69" s="29">
        <v>1</v>
      </c>
      <c r="AH69" s="29" t="s">
        <v>18</v>
      </c>
      <c r="AI69" s="29" t="s">
        <v>19</v>
      </c>
      <c r="AJ69" s="29">
        <v>4.1671232876712327</v>
      </c>
      <c r="AK69" s="29" t="s">
        <v>20</v>
      </c>
    </row>
    <row r="70" spans="2:37" x14ac:dyDescent="0.25">
      <c r="B70" t="str">
        <v>VT02491</v>
      </c>
      <c r="C70" t="str">
        <v>Alexis</v>
      </c>
      <c r="D70" t="str">
        <v>Gotfrey</v>
      </c>
      <c r="E70" t="str">
        <v>Engineering</v>
      </c>
      <c r="F70" s="33">
        <v>114465.93</v>
      </c>
      <c r="G70" s="33"/>
      <c r="Z70" s="29" t="s">
        <v>340</v>
      </c>
      <c r="AA70" s="29" t="s">
        <v>341</v>
      </c>
      <c r="AB70" s="29" t="s">
        <v>24</v>
      </c>
      <c r="AC70" s="29" t="s">
        <v>131</v>
      </c>
      <c r="AD70" s="29">
        <v>111049.84</v>
      </c>
      <c r="AE70" s="29" t="s">
        <v>17</v>
      </c>
      <c r="AF70" s="29">
        <v>44393</v>
      </c>
      <c r="AG70" s="29">
        <v>1</v>
      </c>
      <c r="AH70" s="29" t="s">
        <v>18</v>
      </c>
      <c r="AI70" s="29" t="s">
        <v>45</v>
      </c>
      <c r="AJ70" s="29">
        <v>2.9342465753424656</v>
      </c>
      <c r="AK70" s="29" t="s">
        <v>20</v>
      </c>
    </row>
    <row r="71" spans="2:37" x14ac:dyDescent="0.25">
      <c r="B71" t="str">
        <v>TN01281</v>
      </c>
      <c r="C71" t="str">
        <v>Cletus</v>
      </c>
      <c r="D71" t="str">
        <v>McGarahan</v>
      </c>
      <c r="E71" t="str">
        <v>Engineering</v>
      </c>
      <c r="F71" s="33">
        <v>114425.19</v>
      </c>
      <c r="G71" s="33"/>
      <c r="Z71" s="29" t="s">
        <v>56</v>
      </c>
      <c r="AA71" s="29" t="s">
        <v>57</v>
      </c>
      <c r="AB71" s="29" t="s">
        <v>15</v>
      </c>
      <c r="AC71" s="29" t="s">
        <v>58</v>
      </c>
      <c r="AD71" s="29">
        <v>74279.009999999995</v>
      </c>
      <c r="AE71" s="29" t="s">
        <v>26</v>
      </c>
      <c r="AF71" s="29">
        <v>43466</v>
      </c>
      <c r="AG71" s="29">
        <v>1</v>
      </c>
      <c r="AH71" s="29" t="s">
        <v>18</v>
      </c>
      <c r="AI71" s="29" t="s">
        <v>45</v>
      </c>
      <c r="AJ71" s="29">
        <v>5.4739726027397264</v>
      </c>
      <c r="AK71" s="29" t="s">
        <v>20</v>
      </c>
    </row>
    <row r="72" spans="2:37" x14ac:dyDescent="0.25">
      <c r="B72" t="str">
        <v>PR00746</v>
      </c>
      <c r="C72" t="str">
        <v>Hogan</v>
      </c>
      <c r="D72" t="str">
        <v>Iles</v>
      </c>
      <c r="E72" t="str">
        <v>Accounting</v>
      </c>
      <c r="F72" s="33">
        <v>114177.23</v>
      </c>
      <c r="G72" s="33"/>
      <c r="Z72" s="29" t="s">
        <v>79</v>
      </c>
      <c r="AA72" s="29" t="s">
        <v>80</v>
      </c>
      <c r="AB72" s="29" t="s">
        <v>15</v>
      </c>
      <c r="AC72" s="29" t="s">
        <v>50</v>
      </c>
      <c r="AD72" s="29">
        <v>54137.05</v>
      </c>
      <c r="AE72" s="29" t="s">
        <v>26</v>
      </c>
      <c r="AF72" s="29">
        <v>43763</v>
      </c>
      <c r="AG72" s="29">
        <v>1</v>
      </c>
      <c r="AH72" s="29" t="s">
        <v>18</v>
      </c>
      <c r="AI72" s="29" t="s">
        <v>19</v>
      </c>
      <c r="AJ72" s="29">
        <v>4.6602739726027398</v>
      </c>
      <c r="AK72" s="29" t="s">
        <v>20</v>
      </c>
    </row>
    <row r="73" spans="2:37" x14ac:dyDescent="0.25">
      <c r="B73" t="str">
        <v>VT03421</v>
      </c>
      <c r="C73" t="str">
        <v>Alic</v>
      </c>
      <c r="D73" t="str">
        <v>Bagg</v>
      </c>
      <c r="E73" t="str">
        <v>Legal</v>
      </c>
      <c r="F73" s="33">
        <v>113747.56</v>
      </c>
      <c r="G73" s="33"/>
      <c r="Z73" s="29" t="s">
        <v>366</v>
      </c>
      <c r="AA73" s="29" t="s">
        <v>367</v>
      </c>
      <c r="AB73" s="29" t="s">
        <v>24</v>
      </c>
      <c r="AC73" s="29" t="s">
        <v>32</v>
      </c>
      <c r="AD73" s="29">
        <v>89690.38</v>
      </c>
      <c r="AE73" s="29" t="s">
        <v>26</v>
      </c>
      <c r="AF73" s="29">
        <v>43213</v>
      </c>
      <c r="AG73" s="29">
        <v>1</v>
      </c>
      <c r="AH73" s="29" t="s">
        <v>18</v>
      </c>
      <c r="AI73" s="29" t="s">
        <v>41</v>
      </c>
      <c r="AJ73" s="29">
        <v>6.1671232876712327</v>
      </c>
      <c r="AK73" s="29" t="s">
        <v>20</v>
      </c>
    </row>
    <row r="74" spans="2:37" x14ac:dyDescent="0.25">
      <c r="B74" t="str">
        <v>VT03421</v>
      </c>
      <c r="C74" t="str">
        <v>Alic</v>
      </c>
      <c r="D74" t="str">
        <v>Bagg</v>
      </c>
      <c r="E74" t="str">
        <v>Legal</v>
      </c>
      <c r="F74" s="33">
        <v>113747.56</v>
      </c>
      <c r="G74" s="33"/>
      <c r="Z74" s="29" t="s">
        <v>211</v>
      </c>
      <c r="AA74" s="29" t="s">
        <v>212</v>
      </c>
      <c r="AB74" s="29" t="s">
        <v>24</v>
      </c>
      <c r="AC74" s="29" t="s">
        <v>124</v>
      </c>
      <c r="AD74" s="29">
        <v>38438.239999999998</v>
      </c>
      <c r="AE74" s="29" t="s">
        <v>65</v>
      </c>
      <c r="AF74" s="29">
        <v>43962</v>
      </c>
      <c r="AG74" s="29">
        <v>1</v>
      </c>
      <c r="AH74" s="29" t="s">
        <v>18</v>
      </c>
      <c r="AI74" s="29" t="s">
        <v>84</v>
      </c>
      <c r="AJ74" s="29">
        <v>4.1150684931506847</v>
      </c>
      <c r="AK74" s="29" t="s">
        <v>20</v>
      </c>
    </row>
    <row r="75" spans="2:37" x14ac:dyDescent="0.25">
      <c r="B75" t="str">
        <v>SQ01620</v>
      </c>
      <c r="C75" t="str">
        <v>Westbrook</v>
      </c>
      <c r="D75" t="str">
        <v>Brandino</v>
      </c>
      <c r="E75" t="str">
        <v>Legal</v>
      </c>
      <c r="F75" s="33">
        <v>113616.23</v>
      </c>
      <c r="G75" s="33"/>
      <c r="Z75" s="29" t="s">
        <v>490</v>
      </c>
      <c r="AA75" s="29" t="s">
        <v>491</v>
      </c>
      <c r="AB75" s="29" t="s">
        <v>24</v>
      </c>
      <c r="AC75" s="29" t="s">
        <v>124</v>
      </c>
      <c r="AD75" s="29">
        <v>38438.239999999998</v>
      </c>
      <c r="AE75" s="29" t="s">
        <v>65</v>
      </c>
      <c r="AF75" s="29">
        <v>43962</v>
      </c>
      <c r="AG75" s="29">
        <v>1</v>
      </c>
      <c r="AH75" s="29" t="s">
        <v>18</v>
      </c>
      <c r="AI75" s="29" t="s">
        <v>84</v>
      </c>
      <c r="AJ75" s="29">
        <v>4.1150684931506847</v>
      </c>
      <c r="AK75" s="29" t="s">
        <v>20</v>
      </c>
    </row>
    <row r="76" spans="2:37" x14ac:dyDescent="0.25">
      <c r="B76" t="str">
        <v>VT01893</v>
      </c>
      <c r="C76" t="str">
        <v>Lindy</v>
      </c>
      <c r="D76" t="str">
        <v>Guillet</v>
      </c>
      <c r="E76" t="str">
        <v>Training</v>
      </c>
      <c r="F76" s="33">
        <v>112778.28</v>
      </c>
      <c r="G76" s="33"/>
      <c r="Z76" s="29" t="s">
        <v>408</v>
      </c>
      <c r="AA76" s="29" t="s">
        <v>409</v>
      </c>
      <c r="AB76" s="29" t="s">
        <v>24</v>
      </c>
      <c r="AC76" s="29" t="s">
        <v>58</v>
      </c>
      <c r="AD76" s="29">
        <v>44447.26</v>
      </c>
      <c r="AE76" s="29" t="s">
        <v>65</v>
      </c>
      <c r="AF76" s="29">
        <v>43846</v>
      </c>
      <c r="AG76" s="29">
        <v>0.4</v>
      </c>
      <c r="AH76" s="29" t="s">
        <v>18</v>
      </c>
      <c r="AI76" s="29" t="s">
        <v>27</v>
      </c>
      <c r="AJ76" s="29">
        <v>4.4328767123287669</v>
      </c>
      <c r="AK76" s="29" t="s">
        <v>28</v>
      </c>
    </row>
    <row r="77" spans="2:37" x14ac:dyDescent="0.25">
      <c r="B77" t="str">
        <v>VT01893</v>
      </c>
      <c r="C77" t="str">
        <v>Lindy</v>
      </c>
      <c r="D77" t="str">
        <v>Guillet</v>
      </c>
      <c r="E77" t="str">
        <v>Training</v>
      </c>
      <c r="F77" s="33">
        <v>112778.28</v>
      </c>
      <c r="G77" s="33"/>
      <c r="Z77" s="29" t="s">
        <v>420</v>
      </c>
      <c r="AA77" s="29" t="s">
        <v>421</v>
      </c>
      <c r="AB77" s="29" t="s">
        <v>15</v>
      </c>
      <c r="AC77" s="29" t="s">
        <v>124</v>
      </c>
      <c r="AD77" s="29">
        <v>74924.649999999994</v>
      </c>
      <c r="AE77" s="29" t="s">
        <v>26</v>
      </c>
      <c r="AF77" s="29">
        <v>44239</v>
      </c>
      <c r="AG77" s="29">
        <v>1</v>
      </c>
      <c r="AH77" s="29" t="s">
        <v>18</v>
      </c>
      <c r="AI77" s="29" t="s">
        <v>41</v>
      </c>
      <c r="AJ77" s="29">
        <v>3.3561643835616439</v>
      </c>
      <c r="AK77" s="29" t="s">
        <v>20</v>
      </c>
    </row>
    <row r="78" spans="2:37" x14ac:dyDescent="0.25">
      <c r="B78" t="str">
        <v>PR01159</v>
      </c>
      <c r="C78" t="str">
        <v>Mollie</v>
      </c>
      <c r="D78" t="str">
        <v>Hanway</v>
      </c>
      <c r="E78" t="str">
        <v>Engineering</v>
      </c>
      <c r="F78" s="33">
        <v>112645.99</v>
      </c>
      <c r="G78" s="33"/>
      <c r="Z78" s="29" t="s">
        <v>163</v>
      </c>
      <c r="AA78" s="29" t="s">
        <v>164</v>
      </c>
      <c r="AB78" s="29" t="s">
        <v>15</v>
      </c>
      <c r="AC78" s="29" t="s">
        <v>97</v>
      </c>
      <c r="AD78" s="29">
        <v>86556.96</v>
      </c>
      <c r="AE78" s="29" t="s">
        <v>26</v>
      </c>
      <c r="AF78" s="29">
        <v>44104</v>
      </c>
      <c r="AG78" s="29">
        <v>1</v>
      </c>
      <c r="AH78" s="29" t="s">
        <v>18</v>
      </c>
      <c r="AI78" s="29" t="s">
        <v>41</v>
      </c>
      <c r="AJ78" s="29">
        <v>3.7260273972602738</v>
      </c>
      <c r="AK78" s="29" t="s">
        <v>20</v>
      </c>
    </row>
    <row r="79" spans="2:37" x14ac:dyDescent="0.25">
      <c r="B79" t="str">
        <v>VT04028</v>
      </c>
      <c r="C79" t="str">
        <v>Michale</v>
      </c>
      <c r="D79" t="str">
        <v>Rolf</v>
      </c>
      <c r="E79" t="str">
        <v>Services</v>
      </c>
      <c r="F79" s="33">
        <v>111815.49</v>
      </c>
      <c r="G79" s="33"/>
      <c r="Z79" s="29" t="s">
        <v>417</v>
      </c>
      <c r="AA79" s="29" t="s">
        <v>418</v>
      </c>
      <c r="AB79" s="29" t="s">
        <v>24</v>
      </c>
      <c r="AC79" s="29" t="s">
        <v>54</v>
      </c>
      <c r="AD79" s="29">
        <v>68008.55</v>
      </c>
      <c r="AE79" s="29" t="s">
        <v>26</v>
      </c>
      <c r="AF79" s="29">
        <v>44062</v>
      </c>
      <c r="AG79" s="29">
        <v>1</v>
      </c>
      <c r="AH79" s="29" t="s">
        <v>18</v>
      </c>
      <c r="AI79" s="29" t="s">
        <v>77</v>
      </c>
      <c r="AJ79" s="29">
        <v>3.8410958904109589</v>
      </c>
      <c r="AK79" s="29" t="s">
        <v>20</v>
      </c>
    </row>
    <row r="80" spans="2:37" x14ac:dyDescent="0.25">
      <c r="B80" t="str">
        <v>VT04028</v>
      </c>
      <c r="C80" t="str">
        <v>Michale</v>
      </c>
      <c r="D80" t="str">
        <v>Rolf</v>
      </c>
      <c r="E80" t="str">
        <v>Services</v>
      </c>
      <c r="F80" s="33">
        <v>111815.49</v>
      </c>
      <c r="G80" s="33"/>
      <c r="Z80" s="29" t="s">
        <v>129</v>
      </c>
      <c r="AA80" s="29" t="s">
        <v>130</v>
      </c>
      <c r="AB80" s="29" t="s">
        <v>15</v>
      </c>
      <c r="AC80" s="29" t="s">
        <v>131</v>
      </c>
      <c r="AD80" s="29">
        <v>90697.67</v>
      </c>
      <c r="AE80" s="29" t="s">
        <v>26</v>
      </c>
      <c r="AF80" s="29">
        <v>44221</v>
      </c>
      <c r="AG80" s="29">
        <v>0.8</v>
      </c>
      <c r="AH80" s="29" t="s">
        <v>18</v>
      </c>
      <c r="AI80" s="29" t="s">
        <v>27</v>
      </c>
      <c r="AJ80" s="29">
        <v>3.4054794520547946</v>
      </c>
      <c r="AK80" s="29" t="s">
        <v>28</v>
      </c>
    </row>
    <row r="81" spans="2:37" x14ac:dyDescent="0.25">
      <c r="B81" t="str">
        <v>SQ04603</v>
      </c>
      <c r="C81" t="str">
        <v>Natalee</v>
      </c>
      <c r="D81" t="str">
        <v>Craiker</v>
      </c>
      <c r="E81" t="str">
        <v>Product Management</v>
      </c>
      <c r="F81" s="33">
        <v>111229.47</v>
      </c>
      <c r="G81" s="33"/>
      <c r="Z81" s="29" t="s">
        <v>184</v>
      </c>
      <c r="AA81" s="29" t="s">
        <v>185</v>
      </c>
      <c r="AB81" s="29" t="s">
        <v>24</v>
      </c>
      <c r="AC81" s="29" t="s">
        <v>16</v>
      </c>
      <c r="AD81" s="29">
        <v>44403.77</v>
      </c>
      <c r="AE81" s="29" t="s">
        <v>65</v>
      </c>
      <c r="AF81" s="29">
        <v>43416</v>
      </c>
      <c r="AG81" s="29">
        <v>1</v>
      </c>
      <c r="AH81" s="29" t="s">
        <v>18</v>
      </c>
      <c r="AI81" s="29" t="s">
        <v>41</v>
      </c>
      <c r="AJ81" s="29">
        <v>5.6109589041095891</v>
      </c>
      <c r="AK81" s="29" t="s">
        <v>20</v>
      </c>
    </row>
    <row r="82" spans="2:37" x14ac:dyDescent="0.25">
      <c r="B82" t="str">
        <v>SQ00498</v>
      </c>
      <c r="C82" t="str">
        <v>Amery</v>
      </c>
      <c r="D82" t="str">
        <v>Ofer</v>
      </c>
      <c r="E82" t="str">
        <v>Legal</v>
      </c>
      <c r="F82" s="33">
        <v>111049.84</v>
      </c>
      <c r="G82" s="33"/>
      <c r="Z82" s="29" t="s">
        <v>352</v>
      </c>
      <c r="AA82" s="29" t="s">
        <v>353</v>
      </c>
      <c r="AB82" s="29" t="s">
        <v>15</v>
      </c>
      <c r="AC82" s="29" t="s">
        <v>101</v>
      </c>
      <c r="AD82" s="29">
        <v>49915.14</v>
      </c>
      <c r="AE82" s="29" t="s">
        <v>65</v>
      </c>
      <c r="AF82" s="29">
        <v>43550</v>
      </c>
      <c r="AG82" s="29">
        <v>1</v>
      </c>
      <c r="AH82" s="29" t="s">
        <v>18</v>
      </c>
      <c r="AI82" s="29" t="s">
        <v>19</v>
      </c>
      <c r="AJ82" s="29">
        <v>5.2438356164383562</v>
      </c>
      <c r="AK82" s="29" t="s">
        <v>20</v>
      </c>
    </row>
    <row r="83" spans="2:37" x14ac:dyDescent="0.25">
      <c r="B83" t="str">
        <v>VT04681</v>
      </c>
      <c r="C83" t="str">
        <v>Nickolai</v>
      </c>
      <c r="D83" t="str">
        <v>Artin</v>
      </c>
      <c r="E83" t="str">
        <v>Product Management</v>
      </c>
      <c r="F83" s="33">
        <v>110906.35</v>
      </c>
      <c r="G83" s="33"/>
      <c r="Z83" s="29" t="s">
        <v>148</v>
      </c>
      <c r="AA83" s="29" t="s">
        <v>149</v>
      </c>
      <c r="AB83" s="29" t="s">
        <v>15</v>
      </c>
      <c r="AC83" s="29" t="s">
        <v>131</v>
      </c>
      <c r="AD83" s="29">
        <v>113616.23</v>
      </c>
      <c r="AE83" s="29" t="s">
        <v>17</v>
      </c>
      <c r="AF83" s="29">
        <v>43255</v>
      </c>
      <c r="AG83" s="29">
        <v>1</v>
      </c>
      <c r="AH83" s="29" t="s">
        <v>18</v>
      </c>
      <c r="AI83" s="29" t="s">
        <v>19</v>
      </c>
      <c r="AJ83" s="29">
        <v>6.0520547945205481</v>
      </c>
      <c r="AK83" s="29" t="s">
        <v>20</v>
      </c>
    </row>
    <row r="84" spans="2:37" x14ac:dyDescent="0.25">
      <c r="B84" t="str">
        <v>SQ00022</v>
      </c>
      <c r="C84" t="str">
        <v>Carlin</v>
      </c>
      <c r="D84" t="str">
        <v>Demke</v>
      </c>
      <c r="E84" t="str">
        <v>Business Development</v>
      </c>
      <c r="F84" s="33">
        <v>110042.37</v>
      </c>
      <c r="G84" s="33"/>
      <c r="Z84" s="29" t="s">
        <v>193</v>
      </c>
      <c r="AA84" s="29" t="s">
        <v>194</v>
      </c>
      <c r="AB84" s="29" t="s">
        <v>15</v>
      </c>
      <c r="AC84" s="29" t="s">
        <v>105</v>
      </c>
      <c r="AD84" s="29">
        <v>68860.399999999994</v>
      </c>
      <c r="AE84" s="29" t="s">
        <v>26</v>
      </c>
      <c r="AF84" s="29">
        <v>43508</v>
      </c>
      <c r="AG84" s="29">
        <v>0.4</v>
      </c>
      <c r="AH84" s="29" t="s">
        <v>18</v>
      </c>
      <c r="AI84" s="29" t="s">
        <v>72</v>
      </c>
      <c r="AJ84" s="29">
        <v>5.3589041095890408</v>
      </c>
      <c r="AK84" s="29" t="s">
        <v>28</v>
      </c>
    </row>
    <row r="85" spans="2:37" x14ac:dyDescent="0.25">
      <c r="B85" t="str">
        <v>TN00579</v>
      </c>
      <c r="C85" t="str">
        <v>Rafaelita</v>
      </c>
      <c r="D85" t="str">
        <v>Blaksland</v>
      </c>
      <c r="E85" t="str">
        <v>Services</v>
      </c>
      <c r="F85" s="33">
        <v>109163.39</v>
      </c>
      <c r="G85" s="33"/>
      <c r="Z85" s="29" t="s">
        <v>349</v>
      </c>
      <c r="AA85" s="29" t="s">
        <v>350</v>
      </c>
      <c r="AB85" s="29" t="s">
        <v>15</v>
      </c>
      <c r="AC85" s="29" t="s">
        <v>25</v>
      </c>
      <c r="AD85" s="29">
        <v>71371.37</v>
      </c>
      <c r="AE85" s="29" t="s">
        <v>26</v>
      </c>
      <c r="AF85" s="29">
        <v>43392</v>
      </c>
      <c r="AG85" s="29">
        <v>1</v>
      </c>
      <c r="AH85" s="29" t="s">
        <v>18</v>
      </c>
      <c r="AI85" s="29" t="s">
        <v>41</v>
      </c>
      <c r="AJ85" s="29">
        <v>5.6767123287671231</v>
      </c>
      <c r="AK85" s="29" t="s">
        <v>20</v>
      </c>
    </row>
    <row r="86" spans="2:37" x14ac:dyDescent="0.25">
      <c r="B86" t="str">
        <v>SQ03733</v>
      </c>
      <c r="C86" t="str">
        <v>Revkah</v>
      </c>
      <c r="D86" t="str">
        <v>Antonacci</v>
      </c>
      <c r="E86" t="str">
        <v>Engineering</v>
      </c>
      <c r="F86" s="33">
        <v>109143.17</v>
      </c>
      <c r="G86" s="33"/>
      <c r="Z86" s="29" t="s">
        <v>567</v>
      </c>
      <c r="AA86" s="29" t="s">
        <v>568</v>
      </c>
      <c r="AB86" s="29" t="s">
        <v>24</v>
      </c>
      <c r="AC86" s="29" t="s">
        <v>32</v>
      </c>
      <c r="AD86" s="29">
        <v>32269.91</v>
      </c>
      <c r="AE86" s="29" t="s">
        <v>65</v>
      </c>
      <c r="AF86" s="29">
        <v>43346</v>
      </c>
      <c r="AG86" s="29">
        <v>1</v>
      </c>
      <c r="AH86" s="29" t="s">
        <v>18</v>
      </c>
      <c r="AI86" s="29" t="s">
        <v>19</v>
      </c>
      <c r="AJ86" s="29">
        <v>5.8027397260273972</v>
      </c>
      <c r="AK86" s="29" t="s">
        <v>20</v>
      </c>
    </row>
    <row r="87" spans="2:37" x14ac:dyDescent="0.25">
      <c r="B87" t="str">
        <v>SQ03116</v>
      </c>
      <c r="C87" t="str">
        <v>Syd</v>
      </c>
      <c r="D87" t="str">
        <v>Fearn</v>
      </c>
      <c r="E87" t="str">
        <v>Engineering</v>
      </c>
      <c r="F87" s="33">
        <v>108872.77</v>
      </c>
      <c r="G87" s="33"/>
      <c r="Z87" s="29" t="s">
        <v>432</v>
      </c>
      <c r="AA87" s="29" t="s">
        <v>433</v>
      </c>
      <c r="AB87" s="29" t="s">
        <v>15</v>
      </c>
      <c r="AC87" s="29" t="s">
        <v>124</v>
      </c>
      <c r="AD87" s="29">
        <v>31241.24</v>
      </c>
      <c r="AE87" s="29" t="s">
        <v>65</v>
      </c>
      <c r="AF87" s="29">
        <v>43725</v>
      </c>
      <c r="AG87" s="29">
        <v>1</v>
      </c>
      <c r="AH87" s="29" t="s">
        <v>18</v>
      </c>
      <c r="AI87" s="29" t="s">
        <v>19</v>
      </c>
      <c r="AJ87" s="29">
        <v>4.7643835616438359</v>
      </c>
      <c r="AK87" s="29" t="s">
        <v>20</v>
      </c>
    </row>
    <row r="88" spans="2:37" x14ac:dyDescent="0.25">
      <c r="B88" t="str">
        <v>SQ03476</v>
      </c>
      <c r="C88" t="str">
        <v>Ramalingam</v>
      </c>
      <c r="D88" t="str">
        <v>Kothapeta</v>
      </c>
      <c r="E88" t="str">
        <v>Accounting</v>
      </c>
      <c r="F88" s="33">
        <v>107107.6</v>
      </c>
      <c r="G88" s="33"/>
      <c r="Z88" s="29" t="s">
        <v>52</v>
      </c>
      <c r="AA88" s="29" t="s">
        <v>53</v>
      </c>
      <c r="AB88" s="29" t="s">
        <v>24</v>
      </c>
      <c r="AC88" s="29" t="s">
        <v>54</v>
      </c>
      <c r="AD88" s="29">
        <v>66017.179999999993</v>
      </c>
      <c r="AE88" s="29" t="s">
        <v>26</v>
      </c>
      <c r="AF88" s="29">
        <v>43643</v>
      </c>
      <c r="AG88" s="29">
        <v>0.9</v>
      </c>
      <c r="AH88" s="29" t="s">
        <v>18</v>
      </c>
      <c r="AI88" s="29" t="s">
        <v>19</v>
      </c>
      <c r="AJ88" s="29">
        <v>4.9890410958904106</v>
      </c>
      <c r="AK88" s="29" t="s">
        <v>28</v>
      </c>
    </row>
    <row r="89" spans="2:37" x14ac:dyDescent="0.25">
      <c r="B89" t="str">
        <v>TN04058</v>
      </c>
      <c r="C89" t="str">
        <v>Subbarao</v>
      </c>
      <c r="D89" t="str">
        <v>Malladi</v>
      </c>
      <c r="E89" t="str">
        <v>Product Management</v>
      </c>
      <c r="F89" s="33">
        <v>106775.14</v>
      </c>
      <c r="G89" s="33"/>
      <c r="Z89" s="29" t="s">
        <v>411</v>
      </c>
      <c r="AA89" s="29" t="s">
        <v>412</v>
      </c>
      <c r="AB89" s="29" t="s">
        <v>15</v>
      </c>
      <c r="AC89" s="29" t="s">
        <v>124</v>
      </c>
      <c r="AD89" s="29">
        <v>40445.29</v>
      </c>
      <c r="AE89" s="29" t="s">
        <v>65</v>
      </c>
      <c r="AF89" s="29">
        <v>44393</v>
      </c>
      <c r="AG89" s="29">
        <v>1</v>
      </c>
      <c r="AH89" s="29" t="s">
        <v>18</v>
      </c>
      <c r="AI89" s="29" t="s">
        <v>84</v>
      </c>
      <c r="AJ89" s="29">
        <v>2.9342465753424656</v>
      </c>
      <c r="AK89" s="29" t="s">
        <v>20</v>
      </c>
    </row>
    <row r="90" spans="2:37" x14ac:dyDescent="0.25">
      <c r="B90" t="str">
        <v>TN04058</v>
      </c>
      <c r="C90" t="str">
        <v>Vasu</v>
      </c>
      <c r="D90" t="str">
        <v>Nandin</v>
      </c>
      <c r="E90" t="str">
        <v>Product Management</v>
      </c>
      <c r="F90" s="33">
        <v>106775.14</v>
      </c>
      <c r="G90" s="33"/>
      <c r="Z90" s="29" t="s">
        <v>680</v>
      </c>
      <c r="AA90" s="29" t="s">
        <v>681</v>
      </c>
      <c r="AB90" s="29" t="s">
        <v>15</v>
      </c>
      <c r="AC90" s="29" t="s">
        <v>124</v>
      </c>
      <c r="AD90" s="29">
        <v>40445.29</v>
      </c>
      <c r="AE90" s="29" t="s">
        <v>65</v>
      </c>
      <c r="AF90" s="29">
        <v>44393</v>
      </c>
      <c r="AG90" s="29">
        <v>1</v>
      </c>
      <c r="AH90" s="29" t="s">
        <v>18</v>
      </c>
      <c r="AI90" s="29" t="s">
        <v>84</v>
      </c>
      <c r="AJ90" s="29">
        <v>2.9342465753424656</v>
      </c>
      <c r="AK90" s="29" t="s">
        <v>20</v>
      </c>
    </row>
    <row r="91" spans="2:37" x14ac:dyDescent="0.25">
      <c r="B91" t="str">
        <v>VT04552</v>
      </c>
      <c r="C91" t="str">
        <v>Theresita</v>
      </c>
      <c r="D91" t="str">
        <v>Chasmer</v>
      </c>
      <c r="E91" t="str">
        <v>Product Management</v>
      </c>
      <c r="F91" s="33">
        <v>106665.67</v>
      </c>
      <c r="G91" s="33"/>
      <c r="Z91" s="29" t="s">
        <v>655</v>
      </c>
      <c r="AA91" s="29" t="s">
        <v>656</v>
      </c>
      <c r="AB91" s="29" t="s">
        <v>15</v>
      </c>
      <c r="AC91" s="29" t="s">
        <v>97</v>
      </c>
      <c r="AD91" s="29">
        <v>103494.94</v>
      </c>
      <c r="AE91" s="29" t="s">
        <v>17</v>
      </c>
      <c r="AF91" s="29">
        <v>43256</v>
      </c>
      <c r="AG91" s="29">
        <v>1</v>
      </c>
      <c r="AH91" s="29" t="s">
        <v>18</v>
      </c>
      <c r="AI91" s="29" t="s">
        <v>19</v>
      </c>
      <c r="AJ91" s="29">
        <v>6.0493150684931507</v>
      </c>
      <c r="AK91" s="29" t="s">
        <v>20</v>
      </c>
    </row>
    <row r="92" spans="2:37" x14ac:dyDescent="0.25">
      <c r="B92" t="str">
        <v>VT04350</v>
      </c>
      <c r="C92" t="str">
        <v>Kulbhushan</v>
      </c>
      <c r="D92" t="str">
        <v>Moorthy</v>
      </c>
      <c r="E92" t="str">
        <v>Business Development</v>
      </c>
      <c r="F92" s="33">
        <v>106400.02</v>
      </c>
      <c r="G92" s="33"/>
      <c r="Z92" s="29" t="s">
        <v>655</v>
      </c>
      <c r="AA92" s="29" t="s">
        <v>656</v>
      </c>
      <c r="AB92" s="29" t="s">
        <v>15</v>
      </c>
      <c r="AC92" s="29" t="s">
        <v>97</v>
      </c>
      <c r="AD92" s="29">
        <v>103494.94</v>
      </c>
      <c r="AE92" s="29" t="s">
        <v>17</v>
      </c>
      <c r="AF92" s="29">
        <v>43256</v>
      </c>
      <c r="AG92" s="29">
        <v>1</v>
      </c>
      <c r="AH92" s="29" t="s">
        <v>18</v>
      </c>
      <c r="AI92" s="29" t="s">
        <v>19</v>
      </c>
      <c r="AJ92" s="29">
        <v>6.0493150684931507</v>
      </c>
      <c r="AK92" s="29" t="s">
        <v>20</v>
      </c>
    </row>
    <row r="93" spans="2:37" x14ac:dyDescent="0.25">
      <c r="B93" t="str">
        <v>VT04350</v>
      </c>
      <c r="C93" t="str">
        <v>Lalit</v>
      </c>
      <c r="D93" t="str">
        <v>Kothari</v>
      </c>
      <c r="E93" t="str">
        <v>Business Development</v>
      </c>
      <c r="F93" s="33">
        <v>106400.02</v>
      </c>
      <c r="G93" s="33"/>
      <c r="Z93" s="29" t="s">
        <v>558</v>
      </c>
      <c r="AA93" s="29" t="s">
        <v>559</v>
      </c>
      <c r="AB93" s="29" t="s">
        <v>24</v>
      </c>
      <c r="AC93" s="29" t="s">
        <v>16</v>
      </c>
      <c r="AD93" s="29">
        <v>118442.54</v>
      </c>
      <c r="AE93" s="29" t="s">
        <v>17</v>
      </c>
      <c r="AF93" s="29">
        <v>44193</v>
      </c>
      <c r="AG93" s="29">
        <v>1</v>
      </c>
      <c r="AH93" s="29" t="s">
        <v>18</v>
      </c>
      <c r="AI93" s="29" t="s">
        <v>77</v>
      </c>
      <c r="AJ93" s="29">
        <v>3.4821917808219176</v>
      </c>
      <c r="AK93" s="29" t="s">
        <v>20</v>
      </c>
    </row>
    <row r="94" spans="2:37" x14ac:dyDescent="0.25">
      <c r="B94" t="str">
        <v>SQ02703</v>
      </c>
      <c r="C94" t="str">
        <v>Deepit</v>
      </c>
      <c r="D94" t="str">
        <v>Ranjana</v>
      </c>
      <c r="E94" t="str">
        <v>Marketing</v>
      </c>
      <c r="F94" s="33">
        <v>104903.79</v>
      </c>
      <c r="G94" s="33"/>
      <c r="Z94" s="29" t="s">
        <v>334</v>
      </c>
      <c r="AA94" s="29" t="s">
        <v>335</v>
      </c>
      <c r="AB94" s="29" t="s">
        <v>24</v>
      </c>
      <c r="AC94" s="29" t="s">
        <v>101</v>
      </c>
      <c r="AD94" s="29">
        <v>44845.33</v>
      </c>
      <c r="AE94" s="29" t="s">
        <v>65</v>
      </c>
      <c r="AF94" s="29">
        <v>43277</v>
      </c>
      <c r="AG94" s="29">
        <v>1</v>
      </c>
      <c r="AH94" s="29" t="s">
        <v>18</v>
      </c>
      <c r="AI94" s="29" t="s">
        <v>27</v>
      </c>
      <c r="AJ94" s="29">
        <v>5.9917808219178079</v>
      </c>
      <c r="AK94" s="29" t="s">
        <v>20</v>
      </c>
    </row>
    <row r="95" spans="2:37" x14ac:dyDescent="0.25">
      <c r="B95" t="str">
        <v>PR04601</v>
      </c>
      <c r="C95" t="str">
        <v>Yedukondalu</v>
      </c>
      <c r="D95" t="str">
        <v>Panditula</v>
      </c>
      <c r="E95" t="str">
        <v>Support</v>
      </c>
      <c r="F95" s="33">
        <v>104802.63</v>
      </c>
      <c r="G95" s="33"/>
      <c r="Z95" s="29" t="s">
        <v>205</v>
      </c>
      <c r="AA95" s="29" t="s">
        <v>206</v>
      </c>
      <c r="AB95" s="29" t="s">
        <v>15</v>
      </c>
      <c r="AC95" s="29" t="s">
        <v>58</v>
      </c>
      <c r="AD95" s="29">
        <v>85455.53</v>
      </c>
      <c r="AE95" s="29" t="s">
        <v>26</v>
      </c>
      <c r="AF95" s="29">
        <v>43839</v>
      </c>
      <c r="AG95" s="29">
        <v>1</v>
      </c>
      <c r="AH95" s="29" t="s">
        <v>18</v>
      </c>
      <c r="AI95" s="29" t="s">
        <v>45</v>
      </c>
      <c r="AJ95" s="29">
        <v>4.4520547945205475</v>
      </c>
      <c r="AK95" s="29" t="s">
        <v>20</v>
      </c>
    </row>
    <row r="96" spans="2:37" x14ac:dyDescent="0.25">
      <c r="B96" t="str">
        <v>PR02288</v>
      </c>
      <c r="C96" t="str">
        <v>Althea</v>
      </c>
      <c r="D96" t="str">
        <v>Bronger</v>
      </c>
      <c r="E96" t="str">
        <v>Product Management</v>
      </c>
      <c r="F96" s="33">
        <v>104335.03999999999</v>
      </c>
      <c r="G96" s="33"/>
      <c r="Z96" s="29" t="s">
        <v>649</v>
      </c>
      <c r="AA96" s="29" t="s">
        <v>650</v>
      </c>
      <c r="AB96" s="29" t="s">
        <v>15</v>
      </c>
      <c r="AC96" s="29" t="s">
        <v>97</v>
      </c>
      <c r="AD96" s="29">
        <v>69862.38</v>
      </c>
      <c r="AE96" s="29" t="s">
        <v>26</v>
      </c>
      <c r="AF96" s="29">
        <v>43458</v>
      </c>
      <c r="AG96" s="29">
        <v>1</v>
      </c>
      <c r="AH96" s="29" t="s">
        <v>18</v>
      </c>
      <c r="AI96" s="29" t="s">
        <v>45</v>
      </c>
      <c r="AJ96" s="29">
        <v>5.4958904109589044</v>
      </c>
      <c r="AK96" s="29" t="s">
        <v>20</v>
      </c>
    </row>
    <row r="97" spans="2:37" x14ac:dyDescent="0.25">
      <c r="B97" t="str">
        <v>TN04740</v>
      </c>
      <c r="C97" t="str">
        <v>Tristam</v>
      </c>
      <c r="D97" t="str">
        <v>Cuming</v>
      </c>
      <c r="E97" t="str">
        <v>Support</v>
      </c>
      <c r="F97" s="33">
        <v>104038.9</v>
      </c>
      <c r="G97" s="33"/>
      <c r="Z97" s="29" t="s">
        <v>514</v>
      </c>
      <c r="AA97" s="29" t="s">
        <v>515</v>
      </c>
      <c r="AB97" s="29" t="s">
        <v>15</v>
      </c>
      <c r="AC97" s="29" t="s">
        <v>101</v>
      </c>
      <c r="AD97" s="29">
        <v>52270.22</v>
      </c>
      <c r="AE97" s="29" t="s">
        <v>26</v>
      </c>
      <c r="AF97" s="29">
        <v>43521</v>
      </c>
      <c r="AG97" s="29">
        <v>0.3</v>
      </c>
      <c r="AH97" s="29" t="s">
        <v>18</v>
      </c>
      <c r="AI97" s="29" t="s">
        <v>84</v>
      </c>
      <c r="AJ97" s="29">
        <v>5.3232876712328769</v>
      </c>
      <c r="AK97" s="29" t="s">
        <v>28</v>
      </c>
    </row>
    <row r="98" spans="2:37" x14ac:dyDescent="0.25">
      <c r="B98" t="str">
        <v>SQ02035</v>
      </c>
      <c r="C98" t="str">
        <v>Anni</v>
      </c>
      <c r="D98" t="str">
        <v>Izzard</v>
      </c>
      <c r="E98" t="str">
        <v>Human Resources</v>
      </c>
      <c r="F98" s="33">
        <v>103494.94</v>
      </c>
      <c r="G98" s="33"/>
      <c r="Z98" s="29" t="s">
        <v>634</v>
      </c>
      <c r="AA98" s="29" t="s">
        <v>635</v>
      </c>
      <c r="AB98" s="29" t="s">
        <v>24</v>
      </c>
      <c r="AC98" s="29" t="s">
        <v>36</v>
      </c>
      <c r="AD98" s="29">
        <v>99965.97</v>
      </c>
      <c r="AE98" s="29" t="s">
        <v>26</v>
      </c>
      <c r="AF98" s="29">
        <v>43133</v>
      </c>
      <c r="AG98" s="29">
        <v>1</v>
      </c>
      <c r="AH98" s="29" t="s">
        <v>18</v>
      </c>
      <c r="AI98" s="29" t="s">
        <v>19</v>
      </c>
      <c r="AJ98" s="29">
        <v>6.3863013698630136</v>
      </c>
      <c r="AK98" s="29" t="s">
        <v>20</v>
      </c>
    </row>
    <row r="99" spans="2:37" x14ac:dyDescent="0.25">
      <c r="B99" t="str">
        <v>SQ02035</v>
      </c>
      <c r="C99" t="str">
        <v>Anni</v>
      </c>
      <c r="D99" t="str">
        <v>Izzard</v>
      </c>
      <c r="E99" t="str">
        <v>Human Resources</v>
      </c>
      <c r="F99" s="33">
        <v>103494.94</v>
      </c>
      <c r="G99" s="33"/>
      <c r="Z99" s="29" t="s">
        <v>214</v>
      </c>
      <c r="AA99" s="29" t="s">
        <v>215</v>
      </c>
      <c r="AB99" s="29" t="s">
        <v>15</v>
      </c>
      <c r="AC99" s="29" t="s">
        <v>16</v>
      </c>
      <c r="AD99" s="29">
        <v>50855.53</v>
      </c>
      <c r="AE99" s="29" t="s">
        <v>26</v>
      </c>
      <c r="AF99" s="29">
        <v>44221</v>
      </c>
      <c r="AG99" s="29">
        <v>1</v>
      </c>
      <c r="AH99" s="29" t="s">
        <v>18</v>
      </c>
      <c r="AI99" s="29" t="s">
        <v>45</v>
      </c>
      <c r="AJ99" s="29">
        <v>3.4054794520547946</v>
      </c>
      <c r="AK99" s="29" t="s">
        <v>20</v>
      </c>
    </row>
    <row r="100" spans="2:37" x14ac:dyDescent="0.25">
      <c r="B100" t="str">
        <v>PR02208</v>
      </c>
      <c r="C100" t="str">
        <v>Gowri</v>
      </c>
      <c r="D100" t="str">
        <v>Sankar</v>
      </c>
      <c r="E100" t="str">
        <v>Training</v>
      </c>
      <c r="F100" s="33">
        <v>102934.09</v>
      </c>
      <c r="G100" s="33"/>
      <c r="Z100" s="29" t="s">
        <v>133</v>
      </c>
      <c r="AA100" s="29" t="s">
        <v>134</v>
      </c>
      <c r="AB100" s="29" t="s">
        <v>15</v>
      </c>
      <c r="AC100" s="29" t="s">
        <v>25</v>
      </c>
      <c r="AD100" s="29">
        <v>90884.32</v>
      </c>
      <c r="AE100" s="29" t="s">
        <v>26</v>
      </c>
      <c r="AF100" s="29">
        <v>43826</v>
      </c>
      <c r="AG100" s="29">
        <v>1</v>
      </c>
      <c r="AH100" s="29" t="s">
        <v>18</v>
      </c>
      <c r="AI100" s="29" t="s">
        <v>72</v>
      </c>
      <c r="AJ100" s="29">
        <v>4.4876712328767123</v>
      </c>
      <c r="AK100" s="29" t="s">
        <v>20</v>
      </c>
    </row>
    <row r="101" spans="2:37" x14ac:dyDescent="0.25">
      <c r="B101" t="str">
        <v>VT01762</v>
      </c>
      <c r="C101" t="str">
        <v>Geena</v>
      </c>
      <c r="D101" t="str">
        <v>Raghavanpillai</v>
      </c>
      <c r="E101" t="str">
        <v>Accounting</v>
      </c>
      <c r="F101" s="33">
        <v>102515.81</v>
      </c>
      <c r="G101" s="33"/>
      <c r="Z101" s="29" t="s">
        <v>133</v>
      </c>
      <c r="AA101" s="29" t="s">
        <v>134</v>
      </c>
      <c r="AB101" s="29" t="s">
        <v>15</v>
      </c>
      <c r="AC101" s="29" t="s">
        <v>25</v>
      </c>
      <c r="AD101" s="29">
        <v>90884.32</v>
      </c>
      <c r="AE101" s="29" t="s">
        <v>26</v>
      </c>
      <c r="AF101" s="29">
        <v>43826</v>
      </c>
      <c r="AG101" s="29">
        <v>1</v>
      </c>
      <c r="AH101" s="29" t="s">
        <v>18</v>
      </c>
      <c r="AI101" s="29" t="s">
        <v>72</v>
      </c>
      <c r="AJ101" s="29">
        <v>4.4876712328767123</v>
      </c>
      <c r="AK101" s="29" t="s">
        <v>20</v>
      </c>
    </row>
    <row r="102" spans="2:37" x14ac:dyDescent="0.25">
      <c r="B102" t="str">
        <v>SQ03491</v>
      </c>
      <c r="C102" t="str">
        <v>Freda</v>
      </c>
      <c r="D102" t="str">
        <v>Legan</v>
      </c>
      <c r="E102" t="str">
        <v>Sales</v>
      </c>
      <c r="F102" s="33">
        <v>102129.37</v>
      </c>
      <c r="G102" s="33"/>
      <c r="Z102" s="29" t="s">
        <v>686</v>
      </c>
      <c r="AA102" s="29" t="s">
        <v>687</v>
      </c>
      <c r="AB102" s="29" t="s">
        <v>24</v>
      </c>
      <c r="AC102" s="29" t="s">
        <v>36</v>
      </c>
      <c r="AD102" s="29">
        <v>56253.81</v>
      </c>
      <c r="AE102" s="29" t="s">
        <v>26</v>
      </c>
      <c r="AF102" s="29">
        <v>44421</v>
      </c>
      <c r="AG102" s="29">
        <v>1</v>
      </c>
      <c r="AH102" s="29" t="s">
        <v>18</v>
      </c>
      <c r="AI102" s="29" t="s">
        <v>77</v>
      </c>
      <c r="AJ102" s="29">
        <v>2.8575342465753426</v>
      </c>
      <c r="AK102" s="29" t="s">
        <v>20</v>
      </c>
    </row>
    <row r="103" spans="2:37" x14ac:dyDescent="0.25">
      <c r="B103" t="str">
        <v>VT01684</v>
      </c>
      <c r="C103" t="str">
        <v>Audry</v>
      </c>
      <c r="D103" t="str">
        <v>Yu</v>
      </c>
      <c r="E103" t="str">
        <v>Training</v>
      </c>
      <c r="F103" s="33">
        <v>101187.36</v>
      </c>
      <c r="G103" s="33"/>
      <c r="Z103" s="29" t="s">
        <v>689</v>
      </c>
      <c r="AA103" s="29" t="s">
        <v>690</v>
      </c>
      <c r="AB103" s="29" t="s">
        <v>24</v>
      </c>
      <c r="AC103" s="29" t="s">
        <v>124</v>
      </c>
      <c r="AD103" s="29">
        <v>51798.25</v>
      </c>
      <c r="AE103" s="29" t="s">
        <v>26</v>
      </c>
      <c r="AF103" s="29">
        <v>43665</v>
      </c>
      <c r="AG103" s="29">
        <v>1</v>
      </c>
      <c r="AH103" s="29" t="s">
        <v>18</v>
      </c>
      <c r="AI103" s="29" t="s">
        <v>41</v>
      </c>
      <c r="AJ103" s="29">
        <v>4.9287671232876713</v>
      </c>
      <c r="AK103" s="29" t="s">
        <v>20</v>
      </c>
    </row>
    <row r="104" spans="2:37" x14ac:dyDescent="0.25">
      <c r="B104" t="str">
        <v>SQ03387</v>
      </c>
      <c r="C104" t="str">
        <v>Robinia</v>
      </c>
      <c r="D104" t="str">
        <v>Scholling</v>
      </c>
      <c r="E104" t="str">
        <v>Human Resources</v>
      </c>
      <c r="F104" s="33">
        <v>100731.95</v>
      </c>
      <c r="G104" s="33"/>
      <c r="Z104" s="29" t="s">
        <v>683</v>
      </c>
      <c r="AA104" s="29" t="s">
        <v>684</v>
      </c>
      <c r="AB104" s="29" t="s">
        <v>24</v>
      </c>
      <c r="AC104" s="29" t="s">
        <v>16</v>
      </c>
      <c r="AD104" s="29">
        <v>114772.32</v>
      </c>
      <c r="AE104" s="29" t="s">
        <v>17</v>
      </c>
      <c r="AF104" s="29">
        <v>44251</v>
      </c>
      <c r="AG104" s="29">
        <v>1</v>
      </c>
      <c r="AH104" s="29" t="s">
        <v>18</v>
      </c>
      <c r="AI104" s="29" t="s">
        <v>72</v>
      </c>
      <c r="AJ104" s="29">
        <v>3.3232876712328765</v>
      </c>
      <c r="AK104" s="29" t="s">
        <v>20</v>
      </c>
    </row>
    <row r="105" spans="2:37" x14ac:dyDescent="0.25">
      <c r="B105" t="str">
        <v>SQ04665</v>
      </c>
      <c r="C105" t="str">
        <v>Collin</v>
      </c>
      <c r="D105" t="str">
        <v>Jagson</v>
      </c>
      <c r="E105" t="str">
        <v>Services</v>
      </c>
      <c r="F105" s="33">
        <v>100424.23</v>
      </c>
      <c r="G105" s="33"/>
      <c r="Z105" s="29" t="s">
        <v>452</v>
      </c>
      <c r="AA105" s="29" t="s">
        <v>453</v>
      </c>
      <c r="AB105" s="29" t="s">
        <v>15</v>
      </c>
      <c r="AC105" s="29" t="s">
        <v>54</v>
      </c>
      <c r="AD105" s="29">
        <v>89605.13</v>
      </c>
      <c r="AE105" s="29" t="s">
        <v>26</v>
      </c>
      <c r="AF105" s="29">
        <v>43258</v>
      </c>
      <c r="AG105" s="29">
        <v>1</v>
      </c>
      <c r="AH105" s="29" t="s">
        <v>18</v>
      </c>
      <c r="AI105" s="29" t="s">
        <v>27</v>
      </c>
      <c r="AJ105" s="29">
        <v>6.043835616438356</v>
      </c>
      <c r="AK105" s="29" t="s">
        <v>20</v>
      </c>
    </row>
    <row r="106" spans="2:37" x14ac:dyDescent="0.25">
      <c r="B106" t="str">
        <v>TN04246</v>
      </c>
      <c r="C106" t="str">
        <v>Shaylyn</v>
      </c>
      <c r="D106" t="str">
        <v>Ransbury</v>
      </c>
      <c r="E106" t="str">
        <v>Support</v>
      </c>
      <c r="F106" s="33">
        <v>100371.31</v>
      </c>
      <c r="G106" s="33"/>
      <c r="Z106" s="29" t="s">
        <v>488</v>
      </c>
      <c r="AA106" s="29" t="s">
        <v>489</v>
      </c>
      <c r="AB106" s="29" t="s">
        <v>24</v>
      </c>
      <c r="AC106" s="29" t="s">
        <v>16</v>
      </c>
      <c r="AD106" s="29">
        <v>88425.08</v>
      </c>
      <c r="AE106" s="29" t="s">
        <v>26</v>
      </c>
      <c r="AF106" s="29">
        <v>43662</v>
      </c>
      <c r="AG106" s="29">
        <v>1</v>
      </c>
      <c r="AH106" s="29" t="s">
        <v>18</v>
      </c>
      <c r="AI106" s="29" t="s">
        <v>41</v>
      </c>
      <c r="AJ106" s="29">
        <v>4.9369863013698634</v>
      </c>
      <c r="AK106" s="29" t="s">
        <v>20</v>
      </c>
    </row>
    <row r="107" spans="2:37" x14ac:dyDescent="0.25">
      <c r="G107" s="33"/>
      <c r="Z107" s="29" t="s">
        <v>520</v>
      </c>
      <c r="AA107" s="29" t="s">
        <v>521</v>
      </c>
      <c r="AB107" s="29" t="s">
        <v>24</v>
      </c>
      <c r="AC107" s="29" t="s">
        <v>54</v>
      </c>
      <c r="AD107" s="29">
        <v>104903.79</v>
      </c>
      <c r="AE107" s="29" t="s">
        <v>17</v>
      </c>
      <c r="AF107" s="29">
        <v>43649</v>
      </c>
      <c r="AG107" s="29">
        <v>1</v>
      </c>
      <c r="AH107" s="29" t="s">
        <v>18</v>
      </c>
      <c r="AI107" s="29" t="s">
        <v>84</v>
      </c>
      <c r="AJ107" s="29">
        <v>4.9726027397260273</v>
      </c>
      <c r="AK107" s="29" t="s">
        <v>20</v>
      </c>
    </row>
    <row r="108" spans="2:37" x14ac:dyDescent="0.25">
      <c r="G108" s="33"/>
      <c r="Z108" s="29" t="s">
        <v>235</v>
      </c>
      <c r="AA108" s="29" t="s">
        <v>236</v>
      </c>
      <c r="AB108" s="29" t="s">
        <v>24</v>
      </c>
      <c r="AC108" s="29" t="s">
        <v>32</v>
      </c>
      <c r="AD108" s="29">
        <v>69057.320000000007</v>
      </c>
      <c r="AE108" s="29" t="s">
        <v>26</v>
      </c>
      <c r="AF108" s="29">
        <v>43390</v>
      </c>
      <c r="AG108" s="29">
        <v>1</v>
      </c>
      <c r="AH108" s="29" t="s">
        <v>18</v>
      </c>
      <c r="AI108" s="29" t="s">
        <v>45</v>
      </c>
      <c r="AJ108" s="29">
        <v>5.6821917808219178</v>
      </c>
      <c r="AK108" s="29" t="s">
        <v>20</v>
      </c>
    </row>
    <row r="109" spans="2:37" x14ac:dyDescent="0.25">
      <c r="G109" s="33"/>
      <c r="Z109" s="29" t="s">
        <v>235</v>
      </c>
      <c r="AA109" s="29" t="s">
        <v>236</v>
      </c>
      <c r="AB109" s="29" t="s">
        <v>24</v>
      </c>
      <c r="AC109" s="29" t="s">
        <v>32</v>
      </c>
      <c r="AD109" s="29">
        <v>69057.320000000007</v>
      </c>
      <c r="AE109" s="29" t="s">
        <v>26</v>
      </c>
      <c r="AF109" s="29">
        <v>43390</v>
      </c>
      <c r="AG109" s="29">
        <v>1</v>
      </c>
      <c r="AH109" s="29" t="s">
        <v>18</v>
      </c>
      <c r="AI109" s="29" t="s">
        <v>45</v>
      </c>
      <c r="AJ109" s="29">
        <v>5.6821917808219178</v>
      </c>
      <c r="AK109" s="29" t="s">
        <v>20</v>
      </c>
    </row>
    <row r="110" spans="2:37" x14ac:dyDescent="0.25">
      <c r="G110" s="33"/>
      <c r="Z110" s="29" t="s">
        <v>670</v>
      </c>
      <c r="AA110" s="29" t="s">
        <v>671</v>
      </c>
      <c r="AB110" s="29" t="s">
        <v>15</v>
      </c>
      <c r="AC110" s="29" t="s">
        <v>124</v>
      </c>
      <c r="AD110" s="29">
        <v>77743.149999999994</v>
      </c>
      <c r="AE110" s="29" t="s">
        <v>26</v>
      </c>
      <c r="AF110" s="29">
        <v>43920</v>
      </c>
      <c r="AG110" s="29">
        <v>1</v>
      </c>
      <c r="AH110" s="29" t="s">
        <v>18</v>
      </c>
      <c r="AI110" s="29" t="s">
        <v>84</v>
      </c>
      <c r="AJ110" s="29">
        <v>4.2301369863013702</v>
      </c>
      <c r="AK110" s="29" t="s">
        <v>20</v>
      </c>
    </row>
    <row r="111" spans="2:37" x14ac:dyDescent="0.25">
      <c r="G111" s="33"/>
      <c r="Z111" s="29" t="s">
        <v>449</v>
      </c>
      <c r="AA111" s="29" t="s">
        <v>450</v>
      </c>
      <c r="AB111" s="29" t="s">
        <v>15</v>
      </c>
      <c r="AC111" s="29" t="s">
        <v>16</v>
      </c>
      <c r="AD111" s="29">
        <v>108872.77</v>
      </c>
      <c r="AE111" s="29" t="s">
        <v>17</v>
      </c>
      <c r="AF111" s="29">
        <v>43521</v>
      </c>
      <c r="AG111" s="29">
        <v>1</v>
      </c>
      <c r="AH111" s="29" t="s">
        <v>18</v>
      </c>
      <c r="AI111" s="29" t="s">
        <v>19</v>
      </c>
      <c r="AJ111" s="29">
        <v>5.3232876712328769</v>
      </c>
      <c r="AK111" s="29" t="s">
        <v>20</v>
      </c>
    </row>
    <row r="112" spans="2:37" x14ac:dyDescent="0.25">
      <c r="G112" s="33"/>
      <c r="Z112" s="29" t="s">
        <v>361</v>
      </c>
      <c r="AA112" s="29" t="s">
        <v>362</v>
      </c>
      <c r="AB112" s="29" t="s">
        <v>24</v>
      </c>
      <c r="AC112" s="29" t="s">
        <v>101</v>
      </c>
      <c r="AD112" s="29">
        <v>68887.839999999997</v>
      </c>
      <c r="AE112" s="29" t="s">
        <v>26</v>
      </c>
      <c r="AF112" s="29">
        <v>43297</v>
      </c>
      <c r="AG112" s="29">
        <v>1</v>
      </c>
      <c r="AH112" s="29" t="s">
        <v>18</v>
      </c>
      <c r="AI112" s="29" t="s">
        <v>19</v>
      </c>
      <c r="AJ112" s="29">
        <v>5.9369863013698634</v>
      </c>
      <c r="AK112" s="29" t="s">
        <v>20</v>
      </c>
    </row>
    <row r="113" spans="7:37" x14ac:dyDescent="0.25">
      <c r="G113" s="33"/>
      <c r="Z113" s="29" t="s">
        <v>241</v>
      </c>
      <c r="AA113" s="29" t="s">
        <v>242</v>
      </c>
      <c r="AB113" s="29" t="s">
        <v>24</v>
      </c>
      <c r="AC113" s="29" t="s">
        <v>124</v>
      </c>
      <c r="AD113" s="29">
        <v>66865.490000000005</v>
      </c>
      <c r="AE113" s="29" t="s">
        <v>26</v>
      </c>
      <c r="AF113" s="29">
        <v>43514</v>
      </c>
      <c r="AG113" s="29">
        <v>1</v>
      </c>
      <c r="AH113" s="29" t="s">
        <v>18</v>
      </c>
      <c r="AI113" s="29" t="s">
        <v>27</v>
      </c>
      <c r="AJ113" s="29">
        <v>5.3424657534246576</v>
      </c>
      <c r="AK113" s="29" t="s">
        <v>20</v>
      </c>
    </row>
    <row r="114" spans="7:37" x14ac:dyDescent="0.25">
      <c r="G114" s="33"/>
      <c r="Z114" s="29" t="s">
        <v>241</v>
      </c>
      <c r="AA114" s="29" t="s">
        <v>242</v>
      </c>
      <c r="AB114" s="29" t="s">
        <v>24</v>
      </c>
      <c r="AC114" s="29" t="s">
        <v>124</v>
      </c>
      <c r="AD114" s="29">
        <v>66865.490000000005</v>
      </c>
      <c r="AE114" s="29" t="s">
        <v>26</v>
      </c>
      <c r="AF114" s="29">
        <v>43514</v>
      </c>
      <c r="AG114" s="29">
        <v>1</v>
      </c>
      <c r="AH114" s="29" t="s">
        <v>18</v>
      </c>
      <c r="AI114" s="29" t="s">
        <v>27</v>
      </c>
      <c r="AJ114" s="29">
        <v>5.3424657534246576</v>
      </c>
      <c r="AK114" s="29" t="s">
        <v>20</v>
      </c>
    </row>
    <row r="115" spans="7:37" x14ac:dyDescent="0.25">
      <c r="G115" s="33"/>
      <c r="Z115" s="29" t="s">
        <v>508</v>
      </c>
      <c r="AA115" s="29" t="s">
        <v>509</v>
      </c>
      <c r="AB115" s="29" t="s">
        <v>24</v>
      </c>
      <c r="AC115" s="29" t="s">
        <v>97</v>
      </c>
      <c r="AD115" s="29">
        <v>100731.95</v>
      </c>
      <c r="AE115" s="29" t="s">
        <v>17</v>
      </c>
      <c r="AF115" s="29">
        <v>43936</v>
      </c>
      <c r="AG115" s="29">
        <v>1</v>
      </c>
      <c r="AH115" s="29" t="s">
        <v>18</v>
      </c>
      <c r="AI115" s="29" t="s">
        <v>77</v>
      </c>
      <c r="AJ115" s="29">
        <v>4.1863013698630134</v>
      </c>
      <c r="AK115" s="29" t="s">
        <v>20</v>
      </c>
    </row>
    <row r="116" spans="7:37" x14ac:dyDescent="0.25">
      <c r="G116" s="33"/>
      <c r="Z116" s="29" t="s">
        <v>280</v>
      </c>
      <c r="AA116" s="29" t="s">
        <v>281</v>
      </c>
      <c r="AB116" s="29" t="s">
        <v>49</v>
      </c>
      <c r="AC116" s="29" t="s">
        <v>101</v>
      </c>
      <c r="AD116" s="29">
        <v>107107.6</v>
      </c>
      <c r="AE116" s="29" t="s">
        <v>17</v>
      </c>
      <c r="AF116" s="29">
        <v>43325</v>
      </c>
      <c r="AG116" s="29">
        <v>0.9</v>
      </c>
      <c r="AH116" s="29" t="s">
        <v>18</v>
      </c>
      <c r="AI116" s="29" t="s">
        <v>84</v>
      </c>
      <c r="AJ116" s="29">
        <v>5.86027397260274</v>
      </c>
      <c r="AK116" s="29" t="s">
        <v>28</v>
      </c>
    </row>
    <row r="117" spans="7:37" x14ac:dyDescent="0.25">
      <c r="G117" s="33"/>
      <c r="Z117" s="29" t="s">
        <v>631</v>
      </c>
      <c r="AA117" s="29" t="s">
        <v>632</v>
      </c>
      <c r="AB117" s="29" t="s">
        <v>24</v>
      </c>
      <c r="AC117" s="29" t="s">
        <v>105</v>
      </c>
      <c r="AD117" s="29">
        <v>102129.37</v>
      </c>
      <c r="AE117" s="29" t="s">
        <v>17</v>
      </c>
      <c r="AF117" s="29">
        <v>44396</v>
      </c>
      <c r="AG117" s="29">
        <v>1</v>
      </c>
      <c r="AH117" s="29" t="s">
        <v>18</v>
      </c>
      <c r="AI117" s="29" t="s">
        <v>72</v>
      </c>
      <c r="AJ117" s="29">
        <v>2.9260273972602739</v>
      </c>
      <c r="AK117" s="29" t="s">
        <v>20</v>
      </c>
    </row>
    <row r="118" spans="7:37" x14ac:dyDescent="0.25">
      <c r="G118" s="33"/>
      <c r="Z118" s="29" t="s">
        <v>313</v>
      </c>
      <c r="AA118" s="29" t="s">
        <v>314</v>
      </c>
      <c r="AB118" s="29" t="s">
        <v>24</v>
      </c>
      <c r="AC118" s="29" t="s">
        <v>131</v>
      </c>
      <c r="AD118" s="29">
        <v>75733.740000000005</v>
      </c>
      <c r="AE118" s="29" t="s">
        <v>26</v>
      </c>
      <c r="AF118" s="29">
        <v>44382</v>
      </c>
      <c r="AG118" s="29">
        <v>1</v>
      </c>
      <c r="AH118" s="29" t="s">
        <v>18</v>
      </c>
      <c r="AI118" s="29" t="s">
        <v>41</v>
      </c>
      <c r="AJ118" s="29">
        <v>2.9643835616438357</v>
      </c>
      <c r="AK118" s="29" t="s">
        <v>20</v>
      </c>
    </row>
    <row r="119" spans="7:37" x14ac:dyDescent="0.25">
      <c r="G119" s="33"/>
      <c r="Z119" s="29" t="s">
        <v>736</v>
      </c>
      <c r="AA119" s="29" t="s">
        <v>737</v>
      </c>
      <c r="AB119" s="29" t="s">
        <v>24</v>
      </c>
      <c r="AC119" s="29" t="s">
        <v>105</v>
      </c>
      <c r="AD119" s="29">
        <v>78020.39</v>
      </c>
      <c r="AE119" s="29" t="s">
        <v>26</v>
      </c>
      <c r="AF119" s="29">
        <v>43899</v>
      </c>
      <c r="AG119" s="29">
        <v>1</v>
      </c>
      <c r="AH119" s="29" t="s">
        <v>18</v>
      </c>
      <c r="AI119" s="29" t="s">
        <v>19</v>
      </c>
      <c r="AJ119" s="29">
        <v>4.2876712328767121</v>
      </c>
      <c r="AK119" s="29" t="s">
        <v>20</v>
      </c>
    </row>
    <row r="120" spans="7:37" x14ac:dyDescent="0.25">
      <c r="G120" s="33"/>
      <c r="Z120" s="29" t="s">
        <v>396</v>
      </c>
      <c r="AA120" s="29" t="s">
        <v>397</v>
      </c>
      <c r="AB120" s="29" t="s">
        <v>24</v>
      </c>
      <c r="AC120" s="29" t="s">
        <v>36</v>
      </c>
      <c r="AD120" s="29">
        <v>95677.9</v>
      </c>
      <c r="AE120" s="29" t="s">
        <v>26</v>
      </c>
      <c r="AF120" s="29">
        <v>44396</v>
      </c>
      <c r="AG120" s="29">
        <v>0.3</v>
      </c>
      <c r="AH120" s="29" t="s">
        <v>18</v>
      </c>
      <c r="AI120" s="29" t="s">
        <v>84</v>
      </c>
      <c r="AJ120" s="29">
        <v>2.9260273972602739</v>
      </c>
      <c r="AK120" s="29" t="s">
        <v>28</v>
      </c>
    </row>
    <row r="121" spans="7:37" x14ac:dyDescent="0.25">
      <c r="G121" s="33"/>
      <c r="Z121" s="29" t="s">
        <v>526</v>
      </c>
      <c r="AA121" s="29" t="s">
        <v>527</v>
      </c>
      <c r="AB121" s="29" t="s">
        <v>15</v>
      </c>
      <c r="AC121" s="29" t="s">
        <v>16</v>
      </c>
      <c r="AD121" s="29">
        <v>109143.17</v>
      </c>
      <c r="AE121" s="29" t="s">
        <v>17</v>
      </c>
      <c r="AF121" s="29">
        <v>43945</v>
      </c>
      <c r="AG121" s="29">
        <v>1</v>
      </c>
      <c r="AH121" s="29" t="s">
        <v>18</v>
      </c>
      <c r="AI121" s="29" t="s">
        <v>45</v>
      </c>
      <c r="AJ121" s="29">
        <v>4.161643835616438</v>
      </c>
      <c r="AK121" s="29" t="s">
        <v>20</v>
      </c>
    </row>
    <row r="122" spans="7:37" x14ac:dyDescent="0.25">
      <c r="G122" s="33"/>
      <c r="Z122" s="29" t="s">
        <v>594</v>
      </c>
      <c r="AA122" s="29" t="s">
        <v>595</v>
      </c>
      <c r="AB122" s="29" t="s">
        <v>24</v>
      </c>
      <c r="AC122" s="29" t="s">
        <v>32</v>
      </c>
      <c r="AD122" s="29">
        <v>28305.08</v>
      </c>
      <c r="AE122" s="29" t="s">
        <v>65</v>
      </c>
      <c r="AF122" s="29">
        <v>43754</v>
      </c>
      <c r="AG122" s="29">
        <v>1</v>
      </c>
      <c r="AH122" s="29" t="s">
        <v>18</v>
      </c>
      <c r="AI122" s="29" t="s">
        <v>19</v>
      </c>
      <c r="AJ122" s="29">
        <v>4.6849315068493151</v>
      </c>
      <c r="AK122" s="29" t="s">
        <v>20</v>
      </c>
    </row>
    <row r="123" spans="7:37" x14ac:dyDescent="0.25">
      <c r="G123" s="33"/>
      <c r="Z123" s="29" t="s">
        <v>325</v>
      </c>
      <c r="AA123" s="29" t="s">
        <v>326</v>
      </c>
      <c r="AB123" s="29" t="s">
        <v>15</v>
      </c>
      <c r="AC123" s="29" t="s">
        <v>54</v>
      </c>
      <c r="AD123" s="29">
        <v>76932.600000000006</v>
      </c>
      <c r="AE123" s="29" t="s">
        <v>26</v>
      </c>
      <c r="AF123" s="29">
        <v>43493</v>
      </c>
      <c r="AG123" s="29">
        <v>1</v>
      </c>
      <c r="AH123" s="29" t="s">
        <v>18</v>
      </c>
      <c r="AI123" s="29" t="s">
        <v>41</v>
      </c>
      <c r="AJ123" s="29">
        <v>5.4</v>
      </c>
      <c r="AK123" s="29" t="s">
        <v>20</v>
      </c>
    </row>
    <row r="124" spans="7:37" x14ac:dyDescent="0.25">
      <c r="G124" s="33"/>
      <c r="Z124" s="29" t="s">
        <v>89</v>
      </c>
      <c r="AA124" s="29" t="s">
        <v>90</v>
      </c>
      <c r="AB124" s="29" t="s">
        <v>15</v>
      </c>
      <c r="AC124" s="29" t="s">
        <v>32</v>
      </c>
      <c r="AD124" s="29">
        <v>69913.39</v>
      </c>
      <c r="AE124" s="29" t="s">
        <v>26</v>
      </c>
      <c r="AF124" s="29">
        <v>43584</v>
      </c>
      <c r="AG124" s="29">
        <v>1</v>
      </c>
      <c r="AH124" s="29" t="s">
        <v>18</v>
      </c>
      <c r="AI124" s="29" t="s">
        <v>19</v>
      </c>
      <c r="AJ124" s="29">
        <v>5.1506849315068495</v>
      </c>
      <c r="AK124" s="29" t="s">
        <v>20</v>
      </c>
    </row>
    <row r="125" spans="7:37" x14ac:dyDescent="0.25">
      <c r="G125" s="33"/>
      <c r="Z125" s="29" t="s">
        <v>369</v>
      </c>
      <c r="AA125" s="29" t="s">
        <v>370</v>
      </c>
      <c r="AB125" s="29" t="s">
        <v>15</v>
      </c>
      <c r="AC125" s="29" t="s">
        <v>124</v>
      </c>
      <c r="AD125" s="29">
        <v>111229.47</v>
      </c>
      <c r="AE125" s="29" t="s">
        <v>17</v>
      </c>
      <c r="AF125" s="29">
        <v>43402</v>
      </c>
      <c r="AG125" s="29">
        <v>1</v>
      </c>
      <c r="AH125" s="29" t="s">
        <v>18</v>
      </c>
      <c r="AI125" s="29" t="s">
        <v>19</v>
      </c>
      <c r="AJ125" s="29">
        <v>5.6493150684931503</v>
      </c>
      <c r="AK125" s="29" t="s">
        <v>20</v>
      </c>
    </row>
    <row r="126" spans="7:37" x14ac:dyDescent="0.25">
      <c r="G126" s="33"/>
      <c r="Z126" s="29" t="s">
        <v>30</v>
      </c>
      <c r="AA126" s="29" t="s">
        <v>31</v>
      </c>
      <c r="AB126" s="29" t="s">
        <v>24</v>
      </c>
      <c r="AC126" s="29" t="s">
        <v>32</v>
      </c>
      <c r="AD126" s="29">
        <v>120000</v>
      </c>
      <c r="AE126" s="29" t="s">
        <v>17</v>
      </c>
      <c r="AF126" s="29">
        <v>43902</v>
      </c>
      <c r="AG126" s="29">
        <v>0.9</v>
      </c>
      <c r="AH126" s="29" t="s">
        <v>18</v>
      </c>
      <c r="AI126" s="29" t="s">
        <v>19</v>
      </c>
      <c r="AJ126" s="29">
        <v>4.279452054794521</v>
      </c>
      <c r="AK126" s="29" t="s">
        <v>28</v>
      </c>
    </row>
    <row r="127" spans="7:37" x14ac:dyDescent="0.25">
      <c r="G127" s="33"/>
      <c r="Z127" s="29" t="s">
        <v>705</v>
      </c>
      <c r="AA127" s="29" t="s">
        <v>706</v>
      </c>
      <c r="AB127" s="29" t="s">
        <v>24</v>
      </c>
      <c r="AC127" s="29" t="s">
        <v>97</v>
      </c>
      <c r="AD127" s="29">
        <v>85264.38</v>
      </c>
      <c r="AE127" s="29" t="s">
        <v>26</v>
      </c>
      <c r="AF127" s="29">
        <v>43220</v>
      </c>
      <c r="AG127" s="29">
        <v>1</v>
      </c>
      <c r="AH127" s="29" t="s">
        <v>18</v>
      </c>
      <c r="AI127" s="29" t="s">
        <v>84</v>
      </c>
      <c r="AJ127" s="29">
        <v>6.1479452054794521</v>
      </c>
      <c r="AK127" s="29" t="s">
        <v>20</v>
      </c>
    </row>
    <row r="128" spans="7:37" x14ac:dyDescent="0.25">
      <c r="G128" s="33"/>
      <c r="Z128" s="29" t="s">
        <v>461</v>
      </c>
      <c r="AA128" s="29" t="s">
        <v>462</v>
      </c>
      <c r="AB128" s="29" t="s">
        <v>15</v>
      </c>
      <c r="AC128" s="29" t="s">
        <v>32</v>
      </c>
      <c r="AD128" s="29">
        <v>100424.23</v>
      </c>
      <c r="AE128" s="29" t="s">
        <v>17</v>
      </c>
      <c r="AF128" s="29">
        <v>43801</v>
      </c>
      <c r="AG128" s="29">
        <v>1</v>
      </c>
      <c r="AH128" s="29" t="s">
        <v>18</v>
      </c>
      <c r="AI128" s="29" t="s">
        <v>77</v>
      </c>
      <c r="AJ128" s="29">
        <v>4.5561643835616437</v>
      </c>
      <c r="AK128" s="29" t="s">
        <v>20</v>
      </c>
    </row>
    <row r="129" spans="7:37" x14ac:dyDescent="0.25">
      <c r="G129" s="33"/>
      <c r="Z129" s="29" t="s">
        <v>429</v>
      </c>
      <c r="AA129" s="29" t="s">
        <v>430</v>
      </c>
      <c r="AB129" s="29" t="s">
        <v>24</v>
      </c>
      <c r="AC129" s="29" t="s">
        <v>50</v>
      </c>
      <c r="AD129" s="29">
        <v>71924.850000000006</v>
      </c>
      <c r="AE129" s="29" t="s">
        <v>26</v>
      </c>
      <c r="AF129" s="29">
        <v>43822</v>
      </c>
      <c r="AG129" s="29">
        <v>1</v>
      </c>
      <c r="AH129" s="29" t="s">
        <v>18</v>
      </c>
      <c r="AI129" s="29" t="s">
        <v>84</v>
      </c>
      <c r="AJ129" s="29">
        <v>4.4986301369863018</v>
      </c>
      <c r="AK129" s="29" t="s">
        <v>20</v>
      </c>
    </row>
    <row r="130" spans="7:37" x14ac:dyDescent="0.25">
      <c r="G130" s="33"/>
      <c r="Z130" s="29" t="s">
        <v>485</v>
      </c>
      <c r="AA130" s="29" t="s">
        <v>486</v>
      </c>
      <c r="AB130" s="29" t="s">
        <v>24</v>
      </c>
      <c r="AC130" s="29" t="s">
        <v>25</v>
      </c>
      <c r="AD130" s="29">
        <v>61688.77</v>
      </c>
      <c r="AE130" s="29" t="s">
        <v>26</v>
      </c>
      <c r="AF130" s="29">
        <v>43346</v>
      </c>
      <c r="AG130" s="29">
        <v>0.9</v>
      </c>
      <c r="AH130" s="29" t="s">
        <v>18</v>
      </c>
      <c r="AI130" s="29" t="s">
        <v>84</v>
      </c>
      <c r="AJ130" s="29">
        <v>5.8027397260273972</v>
      </c>
      <c r="AK130" s="29" t="s">
        <v>28</v>
      </c>
    </row>
    <row r="131" spans="7:37" x14ac:dyDescent="0.25">
      <c r="G131" s="33"/>
      <c r="Z131" s="29" t="s">
        <v>286</v>
      </c>
      <c r="AA131" s="29" t="s">
        <v>287</v>
      </c>
      <c r="AB131" s="29" t="s">
        <v>24</v>
      </c>
      <c r="AC131" s="29" t="s">
        <v>124</v>
      </c>
      <c r="AD131" s="29">
        <v>75475.929999999993</v>
      </c>
      <c r="AE131" s="29" t="s">
        <v>26</v>
      </c>
      <c r="AF131" s="29">
        <v>43794</v>
      </c>
      <c r="AG131" s="29">
        <v>1</v>
      </c>
      <c r="AH131" s="29" t="s">
        <v>18</v>
      </c>
      <c r="AI131" s="29" t="s">
        <v>19</v>
      </c>
      <c r="AJ131" s="29">
        <v>4.5753424657534243</v>
      </c>
      <c r="AK131" s="29" t="s">
        <v>20</v>
      </c>
    </row>
    <row r="132" spans="7:37" x14ac:dyDescent="0.25">
      <c r="G132" s="33"/>
      <c r="Z132" s="29" t="s">
        <v>82</v>
      </c>
      <c r="AA132" s="29" t="s">
        <v>83</v>
      </c>
      <c r="AB132" s="29" t="s">
        <v>24</v>
      </c>
      <c r="AC132" s="29" t="s">
        <v>36</v>
      </c>
      <c r="AD132" s="29">
        <v>37902.35</v>
      </c>
      <c r="AE132" s="29" t="s">
        <v>65</v>
      </c>
      <c r="AF132" s="29">
        <v>43823</v>
      </c>
      <c r="AG132" s="29">
        <v>1</v>
      </c>
      <c r="AH132" s="29" t="s">
        <v>18</v>
      </c>
      <c r="AI132" s="29" t="s">
        <v>84</v>
      </c>
      <c r="AJ132" s="29">
        <v>4.4958904109589044</v>
      </c>
      <c r="AK132" s="29" t="s">
        <v>20</v>
      </c>
    </row>
    <row r="133" spans="7:37" x14ac:dyDescent="0.25">
      <c r="G133" s="33"/>
      <c r="Z133" s="29" t="s">
        <v>437</v>
      </c>
      <c r="AA133" s="29" t="s">
        <v>438</v>
      </c>
      <c r="AB133" s="29" t="s">
        <v>24</v>
      </c>
      <c r="AC133" s="29" t="s">
        <v>36</v>
      </c>
      <c r="AD133" s="29">
        <v>37902.35</v>
      </c>
      <c r="AE133" s="29" t="s">
        <v>65</v>
      </c>
      <c r="AF133" s="29">
        <v>43823</v>
      </c>
      <c r="AG133" s="29">
        <v>1</v>
      </c>
      <c r="AH133" s="29" t="s">
        <v>18</v>
      </c>
      <c r="AI133" s="29" t="s">
        <v>84</v>
      </c>
      <c r="AJ133" s="29">
        <v>4.4958904109589044</v>
      </c>
      <c r="AK133" s="29" t="s">
        <v>20</v>
      </c>
    </row>
    <row r="134" spans="7:37" x14ac:dyDescent="0.25">
      <c r="G134" s="33"/>
      <c r="Z134" s="29" t="s">
        <v>175</v>
      </c>
      <c r="AA134" s="29" t="s">
        <v>176</v>
      </c>
      <c r="AB134" s="29" t="s">
        <v>24</v>
      </c>
      <c r="AC134" s="29" t="s">
        <v>50</v>
      </c>
      <c r="AD134" s="29">
        <v>63555.73</v>
      </c>
      <c r="AE134" s="29" t="s">
        <v>26</v>
      </c>
      <c r="AF134" s="29">
        <v>44159</v>
      </c>
      <c r="AG134" s="29">
        <v>1</v>
      </c>
      <c r="AH134" s="29" t="s">
        <v>18</v>
      </c>
      <c r="AI134" s="29" t="s">
        <v>84</v>
      </c>
      <c r="AJ134" s="29">
        <v>3.5753424657534247</v>
      </c>
      <c r="AK134" s="29" t="s">
        <v>20</v>
      </c>
    </row>
    <row r="135" spans="7:37" x14ac:dyDescent="0.25">
      <c r="G135" s="33"/>
      <c r="Z135" s="29" t="s">
        <v>613</v>
      </c>
      <c r="AA135" s="29" t="s">
        <v>614</v>
      </c>
      <c r="AB135" s="29" t="s">
        <v>24</v>
      </c>
      <c r="AC135" s="29" t="s">
        <v>124</v>
      </c>
      <c r="AD135" s="29">
        <v>68197.899999999994</v>
      </c>
      <c r="AE135" s="29" t="s">
        <v>26</v>
      </c>
      <c r="AF135" s="29">
        <v>44119</v>
      </c>
      <c r="AG135" s="29">
        <v>1</v>
      </c>
      <c r="AH135" s="29" t="s">
        <v>18</v>
      </c>
      <c r="AI135" s="29" t="s">
        <v>77</v>
      </c>
      <c r="AJ135" s="29">
        <v>3.6849315068493151</v>
      </c>
      <c r="AK135" s="29" t="s">
        <v>20</v>
      </c>
    </row>
    <row r="136" spans="7:37" x14ac:dyDescent="0.25">
      <c r="G136" s="33"/>
      <c r="Z136" s="29" t="s">
        <v>640</v>
      </c>
      <c r="AA136" s="29" t="s">
        <v>641</v>
      </c>
      <c r="AB136" s="29" t="s">
        <v>24</v>
      </c>
      <c r="AC136" s="29" t="s">
        <v>16</v>
      </c>
      <c r="AD136" s="29">
        <v>94815.28</v>
      </c>
      <c r="AE136" s="29" t="s">
        <v>26</v>
      </c>
      <c r="AF136" s="29">
        <v>43440</v>
      </c>
      <c r="AG136" s="29">
        <v>1</v>
      </c>
      <c r="AH136" s="29" t="s">
        <v>18</v>
      </c>
      <c r="AI136" s="29" t="s">
        <v>27</v>
      </c>
      <c r="AJ136" s="29">
        <v>5.5452054794520551</v>
      </c>
      <c r="AK136" s="29" t="s">
        <v>20</v>
      </c>
    </row>
    <row r="137" spans="7:37" x14ac:dyDescent="0.25">
      <c r="G137" s="33"/>
      <c r="Z137" s="29" t="s">
        <v>92</v>
      </c>
      <c r="AA137" s="29" t="s">
        <v>93</v>
      </c>
      <c r="AB137" s="29" t="s">
        <v>15</v>
      </c>
      <c r="AC137" s="29" t="s">
        <v>58</v>
      </c>
      <c r="AD137" s="29">
        <v>52748.63</v>
      </c>
      <c r="AE137" s="29" t="s">
        <v>26</v>
      </c>
      <c r="AF137" s="29">
        <v>43857</v>
      </c>
      <c r="AG137" s="29">
        <v>1</v>
      </c>
      <c r="AH137" s="29" t="s">
        <v>18</v>
      </c>
      <c r="AI137" s="29" t="s">
        <v>84</v>
      </c>
      <c r="AJ137" s="29">
        <v>4.4027397260273968</v>
      </c>
      <c r="AK137" s="29" t="s">
        <v>20</v>
      </c>
    </row>
    <row r="138" spans="7:37" x14ac:dyDescent="0.25">
      <c r="G138" s="33"/>
      <c r="Z138" s="29" t="s">
        <v>552</v>
      </c>
      <c r="AA138" s="29" t="s">
        <v>553</v>
      </c>
      <c r="AB138" s="29" t="s">
        <v>24</v>
      </c>
      <c r="AC138" s="29" t="s">
        <v>32</v>
      </c>
      <c r="AD138" s="29">
        <v>109163.39</v>
      </c>
      <c r="AE138" s="29" t="s">
        <v>17</v>
      </c>
      <c r="AF138" s="29">
        <v>44019</v>
      </c>
      <c r="AG138" s="29">
        <v>0.8</v>
      </c>
      <c r="AH138" s="29" t="s">
        <v>18</v>
      </c>
      <c r="AI138" s="29" t="s">
        <v>27</v>
      </c>
      <c r="AJ138" s="29">
        <v>3.9589041095890409</v>
      </c>
      <c r="AK138" s="29" t="s">
        <v>28</v>
      </c>
    </row>
    <row r="139" spans="7:37" x14ac:dyDescent="0.25">
      <c r="G139" s="33"/>
      <c r="Z139" s="29" t="s">
        <v>405</v>
      </c>
      <c r="AA139" s="29" t="s">
        <v>406</v>
      </c>
      <c r="AB139" s="29" t="s">
        <v>24</v>
      </c>
      <c r="AC139" s="29" t="s">
        <v>50</v>
      </c>
      <c r="AD139" s="29">
        <v>88034.67</v>
      </c>
      <c r="AE139" s="29" t="s">
        <v>26</v>
      </c>
      <c r="AF139" s="29">
        <v>43669</v>
      </c>
      <c r="AG139" s="29">
        <v>1</v>
      </c>
      <c r="AH139" s="29" t="s">
        <v>18</v>
      </c>
      <c r="AI139" s="29" t="s">
        <v>19</v>
      </c>
      <c r="AJ139" s="29">
        <v>4.9178082191780819</v>
      </c>
      <c r="AK139" s="29" t="s">
        <v>20</v>
      </c>
    </row>
    <row r="140" spans="7:37" x14ac:dyDescent="0.25">
      <c r="G140" s="33"/>
      <c r="Z140" s="29" t="s">
        <v>346</v>
      </c>
      <c r="AA140" s="29" t="s">
        <v>347</v>
      </c>
      <c r="AB140" s="29" t="s">
        <v>24</v>
      </c>
      <c r="AC140" s="29" t="s">
        <v>32</v>
      </c>
      <c r="AD140" s="29">
        <v>42161.77</v>
      </c>
      <c r="AE140" s="29" t="s">
        <v>65</v>
      </c>
      <c r="AF140" s="29">
        <v>43494</v>
      </c>
      <c r="AG140" s="29">
        <v>1</v>
      </c>
      <c r="AH140" s="29" t="s">
        <v>18</v>
      </c>
      <c r="AI140" s="29" t="s">
        <v>77</v>
      </c>
      <c r="AJ140" s="29">
        <v>5.397260273972603</v>
      </c>
      <c r="AK140" s="29" t="s">
        <v>20</v>
      </c>
    </row>
    <row r="141" spans="7:37" x14ac:dyDescent="0.25">
      <c r="G141" s="33"/>
      <c r="Z141" s="29" t="s">
        <v>328</v>
      </c>
      <c r="AA141" s="29" t="s">
        <v>329</v>
      </c>
      <c r="AB141" s="29" t="s">
        <v>15</v>
      </c>
      <c r="AC141" s="29" t="s">
        <v>50</v>
      </c>
      <c r="AD141" s="29">
        <v>59258.19</v>
      </c>
      <c r="AE141" s="29" t="s">
        <v>26</v>
      </c>
      <c r="AF141" s="29">
        <v>43452</v>
      </c>
      <c r="AG141" s="29">
        <v>0.8</v>
      </c>
      <c r="AH141" s="29" t="s">
        <v>18</v>
      </c>
      <c r="AI141" s="29" t="s">
        <v>27</v>
      </c>
      <c r="AJ141" s="29">
        <v>5.5123287671232877</v>
      </c>
      <c r="AK141" s="29" t="s">
        <v>28</v>
      </c>
    </row>
    <row r="142" spans="7:37" x14ac:dyDescent="0.25">
      <c r="G142" s="33"/>
      <c r="Z142" s="29" t="s">
        <v>328</v>
      </c>
      <c r="AA142" s="29" t="s">
        <v>329</v>
      </c>
      <c r="AB142" s="29" t="s">
        <v>15</v>
      </c>
      <c r="AC142" s="29" t="s">
        <v>50</v>
      </c>
      <c r="AD142" s="29">
        <v>59258.19</v>
      </c>
      <c r="AE142" s="29" t="s">
        <v>26</v>
      </c>
      <c r="AF142" s="29">
        <v>43452</v>
      </c>
      <c r="AG142" s="29">
        <v>0.8</v>
      </c>
      <c r="AH142" s="29" t="s">
        <v>18</v>
      </c>
      <c r="AI142" s="29" t="s">
        <v>27</v>
      </c>
      <c r="AJ142" s="29">
        <v>5.5123287671232877</v>
      </c>
      <c r="AK142" s="29" t="s">
        <v>28</v>
      </c>
    </row>
    <row r="143" spans="7:37" x14ac:dyDescent="0.25">
      <c r="G143" s="33"/>
      <c r="Z143" s="29" t="s">
        <v>110</v>
      </c>
      <c r="AA143" s="29" t="s">
        <v>111</v>
      </c>
      <c r="AB143" s="29" t="s">
        <v>24</v>
      </c>
      <c r="AC143" s="29" t="s">
        <v>36</v>
      </c>
      <c r="AD143" s="29">
        <v>71570.990000000005</v>
      </c>
      <c r="AE143" s="29" t="s">
        <v>26</v>
      </c>
      <c r="AF143" s="29">
        <v>44249</v>
      </c>
      <c r="AG143" s="29">
        <v>0.5</v>
      </c>
      <c r="AH143" s="29" t="s">
        <v>18</v>
      </c>
      <c r="AI143" s="29" t="s">
        <v>41</v>
      </c>
      <c r="AJ143" s="29">
        <v>3.3287671232876712</v>
      </c>
      <c r="AK143" s="29" t="s">
        <v>28</v>
      </c>
    </row>
    <row r="144" spans="7:37" x14ac:dyDescent="0.25">
      <c r="G144" s="33"/>
      <c r="Z144" s="29" t="s">
        <v>372</v>
      </c>
      <c r="AA144" s="29" t="s">
        <v>373</v>
      </c>
      <c r="AB144" s="29" t="s">
        <v>15</v>
      </c>
      <c r="AC144" s="29" t="s">
        <v>101</v>
      </c>
      <c r="AD144" s="29">
        <v>67633.850000000006</v>
      </c>
      <c r="AE144" s="29" t="s">
        <v>26</v>
      </c>
      <c r="AF144" s="29">
        <v>43340</v>
      </c>
      <c r="AG144" s="29">
        <v>1</v>
      </c>
      <c r="AH144" s="29" t="s">
        <v>18</v>
      </c>
      <c r="AI144" s="29" t="s">
        <v>72</v>
      </c>
      <c r="AJ144" s="29">
        <v>5.8191780821917805</v>
      </c>
      <c r="AK144" s="29" t="s">
        <v>20</v>
      </c>
    </row>
    <row r="145" spans="7:37" x14ac:dyDescent="0.25">
      <c r="G145" s="33"/>
      <c r="Z145" s="29" t="s">
        <v>358</v>
      </c>
      <c r="AA145" s="29" t="s">
        <v>359</v>
      </c>
      <c r="AB145" s="29" t="s">
        <v>15</v>
      </c>
      <c r="AC145" s="29" t="s">
        <v>131</v>
      </c>
      <c r="AD145" s="29">
        <v>89838.77</v>
      </c>
      <c r="AE145" s="29" t="s">
        <v>26</v>
      </c>
      <c r="AF145" s="29">
        <v>43602</v>
      </c>
      <c r="AG145" s="29">
        <v>1</v>
      </c>
      <c r="AH145" s="29" t="s">
        <v>18</v>
      </c>
      <c r="AI145" s="29" t="s">
        <v>19</v>
      </c>
      <c r="AJ145" s="29">
        <v>5.1013698630136988</v>
      </c>
      <c r="AK145" s="29" t="s">
        <v>20</v>
      </c>
    </row>
    <row r="146" spans="7:37" x14ac:dyDescent="0.25">
      <c r="G146" s="33"/>
      <c r="Z146" s="29" t="s">
        <v>467</v>
      </c>
      <c r="AA146" s="29" t="s">
        <v>468</v>
      </c>
      <c r="AB146" s="29" t="s">
        <v>15</v>
      </c>
      <c r="AC146" s="29" t="s">
        <v>131</v>
      </c>
      <c r="AD146" s="29">
        <v>28481.16</v>
      </c>
      <c r="AE146" s="29" t="s">
        <v>65</v>
      </c>
      <c r="AF146" s="29">
        <v>43916</v>
      </c>
      <c r="AG146" s="29">
        <v>1</v>
      </c>
      <c r="AH146" s="29" t="s">
        <v>18</v>
      </c>
      <c r="AI146" s="29" t="s">
        <v>41</v>
      </c>
      <c r="AJ146" s="29">
        <v>4.2410958904109588</v>
      </c>
      <c r="AK146" s="29" t="s">
        <v>20</v>
      </c>
    </row>
    <row r="147" spans="7:37" x14ac:dyDescent="0.25">
      <c r="G147" s="33"/>
      <c r="Z147" s="29" t="s">
        <v>617</v>
      </c>
      <c r="AA147" s="29" t="s">
        <v>618</v>
      </c>
      <c r="AB147" s="29" t="s">
        <v>15</v>
      </c>
      <c r="AC147" s="29" t="s">
        <v>131</v>
      </c>
      <c r="AD147" s="29">
        <v>28481.16</v>
      </c>
      <c r="AE147" s="29" t="s">
        <v>65</v>
      </c>
      <c r="AF147" s="29">
        <v>43916</v>
      </c>
      <c r="AG147" s="29">
        <v>1</v>
      </c>
      <c r="AH147" s="29" t="s">
        <v>18</v>
      </c>
      <c r="AI147" s="29" t="s">
        <v>41</v>
      </c>
      <c r="AJ147" s="29">
        <v>4.2410958904109588</v>
      </c>
      <c r="AK147" s="29" t="s">
        <v>20</v>
      </c>
    </row>
    <row r="148" spans="7:37" x14ac:dyDescent="0.25">
      <c r="G148" s="33"/>
      <c r="Z148" s="29" t="s">
        <v>67</v>
      </c>
      <c r="AA148" s="29" t="s">
        <v>68</v>
      </c>
      <c r="AB148" s="29" t="s">
        <v>24</v>
      </c>
      <c r="AC148" s="29" t="s">
        <v>16</v>
      </c>
      <c r="AD148" s="29">
        <v>114425.19</v>
      </c>
      <c r="AE148" s="29" t="s">
        <v>17</v>
      </c>
      <c r="AF148" s="29">
        <v>43857</v>
      </c>
      <c r="AG148" s="29">
        <v>1</v>
      </c>
      <c r="AH148" s="29" t="s">
        <v>18</v>
      </c>
      <c r="AI148" s="29" t="s">
        <v>45</v>
      </c>
      <c r="AJ148" s="29">
        <v>4.4027397260273968</v>
      </c>
      <c r="AK148" s="29" t="s">
        <v>20</v>
      </c>
    </row>
    <row r="149" spans="7:37" x14ac:dyDescent="0.25">
      <c r="G149" s="33"/>
      <c r="Z149" s="29" t="s">
        <v>402</v>
      </c>
      <c r="AA149" s="29" t="s">
        <v>403</v>
      </c>
      <c r="AB149" s="29" t="s">
        <v>15</v>
      </c>
      <c r="AC149" s="29" t="s">
        <v>131</v>
      </c>
      <c r="AD149" s="29">
        <v>99460.78</v>
      </c>
      <c r="AE149" s="29" t="s">
        <v>26</v>
      </c>
      <c r="AF149" s="29">
        <v>43956</v>
      </c>
      <c r="AG149" s="29">
        <v>1</v>
      </c>
      <c r="AH149" s="29" t="s">
        <v>18</v>
      </c>
      <c r="AI149" s="29" t="s">
        <v>19</v>
      </c>
      <c r="AJ149" s="29">
        <v>4.1315068493150688</v>
      </c>
      <c r="AK149" s="29" t="s">
        <v>20</v>
      </c>
    </row>
    <row r="150" spans="7:37" x14ac:dyDescent="0.25">
      <c r="G150" s="33"/>
      <c r="Z150" s="29" t="s">
        <v>716</v>
      </c>
      <c r="AA150" s="29" t="s">
        <v>717</v>
      </c>
      <c r="AB150" s="29" t="s">
        <v>15</v>
      </c>
      <c r="AC150" s="29" t="s">
        <v>50</v>
      </c>
      <c r="AD150" s="29">
        <v>30077.45</v>
      </c>
      <c r="AE150" s="29" t="s">
        <v>65</v>
      </c>
      <c r="AF150" s="29">
        <v>43474</v>
      </c>
      <c r="AG150" s="29">
        <v>1</v>
      </c>
      <c r="AH150" s="29" t="s">
        <v>18</v>
      </c>
      <c r="AI150" s="29" t="s">
        <v>45</v>
      </c>
      <c r="AJ150" s="29">
        <v>5.4520547945205475</v>
      </c>
      <c r="AK150" s="29" t="s">
        <v>20</v>
      </c>
    </row>
    <row r="151" spans="7:37" x14ac:dyDescent="0.25">
      <c r="G151" s="33"/>
      <c r="Z151" s="29" t="s">
        <v>622</v>
      </c>
      <c r="AA151" s="29" t="s">
        <v>623</v>
      </c>
      <c r="AB151" s="29" t="s">
        <v>15</v>
      </c>
      <c r="AC151" s="29" t="s">
        <v>124</v>
      </c>
      <c r="AD151" s="29">
        <v>80360.41</v>
      </c>
      <c r="AE151" s="29" t="s">
        <v>26</v>
      </c>
      <c r="AF151" s="29">
        <v>44167</v>
      </c>
      <c r="AG151" s="29">
        <v>1</v>
      </c>
      <c r="AH151" s="29" t="s">
        <v>18</v>
      </c>
      <c r="AI151" s="29" t="s">
        <v>19</v>
      </c>
      <c r="AJ151" s="29">
        <v>3.5534246575342467</v>
      </c>
      <c r="AK151" s="29" t="s">
        <v>20</v>
      </c>
    </row>
    <row r="152" spans="7:37" x14ac:dyDescent="0.25">
      <c r="G152" s="33"/>
      <c r="Z152" s="29" t="s">
        <v>564</v>
      </c>
      <c r="AA152" s="29" t="s">
        <v>565</v>
      </c>
      <c r="AB152" s="29" t="s">
        <v>24</v>
      </c>
      <c r="AC152" s="29" t="s">
        <v>124</v>
      </c>
      <c r="AD152" s="29">
        <v>68795.48</v>
      </c>
      <c r="AE152" s="29" t="s">
        <v>26</v>
      </c>
      <c r="AF152" s="29">
        <v>44277</v>
      </c>
      <c r="AG152" s="29">
        <v>0.2</v>
      </c>
      <c r="AH152" s="29" t="s">
        <v>18</v>
      </c>
      <c r="AI152" s="29" t="s">
        <v>19</v>
      </c>
      <c r="AJ152" s="29">
        <v>3.2520547945205478</v>
      </c>
      <c r="AK152" s="29" t="s">
        <v>28</v>
      </c>
    </row>
    <row r="153" spans="7:37" x14ac:dyDescent="0.25">
      <c r="G153" s="33"/>
      <c r="Z153" s="29" t="s">
        <v>564</v>
      </c>
      <c r="AA153" s="29" t="s">
        <v>565</v>
      </c>
      <c r="AB153" s="29" t="s">
        <v>24</v>
      </c>
      <c r="AC153" s="29" t="s">
        <v>124</v>
      </c>
      <c r="AD153" s="29">
        <v>68795.48</v>
      </c>
      <c r="AE153" s="29" t="s">
        <v>26</v>
      </c>
      <c r="AF153" s="29">
        <v>44277</v>
      </c>
      <c r="AG153" s="29">
        <v>0.2</v>
      </c>
      <c r="AH153" s="29" t="s">
        <v>18</v>
      </c>
      <c r="AI153" s="29" t="s">
        <v>19</v>
      </c>
      <c r="AJ153" s="29">
        <v>3.2520547945205478</v>
      </c>
      <c r="AK153" s="29" t="s">
        <v>28</v>
      </c>
    </row>
    <row r="154" spans="7:37" x14ac:dyDescent="0.25">
      <c r="G154" s="33"/>
      <c r="Z154" s="29" t="s">
        <v>387</v>
      </c>
      <c r="AA154" s="29" t="s">
        <v>388</v>
      </c>
      <c r="AB154" s="29" t="s">
        <v>15</v>
      </c>
      <c r="AC154" s="29" t="s">
        <v>25</v>
      </c>
      <c r="AD154" s="29">
        <v>88511.17</v>
      </c>
      <c r="AE154" s="29" t="s">
        <v>26</v>
      </c>
      <c r="AF154" s="29">
        <v>43950</v>
      </c>
      <c r="AG154" s="29">
        <v>1</v>
      </c>
      <c r="AH154" s="29" t="s">
        <v>18</v>
      </c>
      <c r="AI154" s="29" t="s">
        <v>72</v>
      </c>
      <c r="AJ154" s="29">
        <v>4.1479452054794521</v>
      </c>
      <c r="AK154" s="29" t="s">
        <v>20</v>
      </c>
    </row>
    <row r="155" spans="7:37" x14ac:dyDescent="0.25">
      <c r="G155" s="33"/>
      <c r="Z155" s="29" t="s">
        <v>582</v>
      </c>
      <c r="AA155" s="29" t="s">
        <v>583</v>
      </c>
      <c r="AB155" s="29" t="s">
        <v>15</v>
      </c>
      <c r="AC155" s="29" t="s">
        <v>101</v>
      </c>
      <c r="AD155" s="29">
        <v>57925.91</v>
      </c>
      <c r="AE155" s="29" t="s">
        <v>26</v>
      </c>
      <c r="AF155" s="29">
        <v>43572</v>
      </c>
      <c r="AG155" s="29">
        <v>0.5</v>
      </c>
      <c r="AH155" s="29" t="s">
        <v>18</v>
      </c>
      <c r="AI155" s="29" t="s">
        <v>45</v>
      </c>
      <c r="AJ155" s="29">
        <v>5.183561643835616</v>
      </c>
      <c r="AK155" s="29" t="s">
        <v>28</v>
      </c>
    </row>
    <row r="156" spans="7:37" x14ac:dyDescent="0.25">
      <c r="G156" s="33"/>
      <c r="Z156" s="29" t="s">
        <v>169</v>
      </c>
      <c r="AA156" s="29" t="s">
        <v>170</v>
      </c>
      <c r="AB156" s="29" t="s">
        <v>15</v>
      </c>
      <c r="AC156" s="29" t="s">
        <v>25</v>
      </c>
      <c r="AD156" s="29">
        <v>80169.42</v>
      </c>
      <c r="AE156" s="29" t="s">
        <v>26</v>
      </c>
      <c r="AF156" s="29">
        <v>44053</v>
      </c>
      <c r="AG156" s="29">
        <v>1</v>
      </c>
      <c r="AH156" s="29" t="s">
        <v>18</v>
      </c>
      <c r="AI156" s="29" t="s">
        <v>77</v>
      </c>
      <c r="AJ156" s="29">
        <v>3.8657534246575342</v>
      </c>
      <c r="AK156" s="29" t="s">
        <v>20</v>
      </c>
    </row>
    <row r="157" spans="7:37" x14ac:dyDescent="0.25">
      <c r="G157" s="33"/>
      <c r="Z157" s="29" t="s">
        <v>169</v>
      </c>
      <c r="AA157" s="29" t="s">
        <v>170</v>
      </c>
      <c r="AB157" s="29" t="s">
        <v>15</v>
      </c>
      <c r="AC157" s="29" t="s">
        <v>25</v>
      </c>
      <c r="AD157" s="29">
        <v>80169.42</v>
      </c>
      <c r="AE157" s="29" t="s">
        <v>26</v>
      </c>
      <c r="AF157" s="29">
        <v>44053</v>
      </c>
      <c r="AG157" s="29">
        <v>1</v>
      </c>
      <c r="AH157" s="29" t="s">
        <v>18</v>
      </c>
      <c r="AI157" s="29" t="s">
        <v>77</v>
      </c>
      <c r="AJ157" s="29">
        <v>3.8657534246575342</v>
      </c>
      <c r="AK157" s="29" t="s">
        <v>20</v>
      </c>
    </row>
    <row r="158" spans="7:37" x14ac:dyDescent="0.25">
      <c r="G158" s="33"/>
      <c r="Z158" s="29" t="s">
        <v>423</v>
      </c>
      <c r="AA158" s="29" t="s">
        <v>424</v>
      </c>
      <c r="AB158" s="29" t="s">
        <v>15</v>
      </c>
      <c r="AC158" s="29" t="s">
        <v>32</v>
      </c>
      <c r="AD158" s="29">
        <v>88689.09</v>
      </c>
      <c r="AE158" s="29" t="s">
        <v>26</v>
      </c>
      <c r="AF158" s="29">
        <v>43740</v>
      </c>
      <c r="AG158" s="29">
        <v>1</v>
      </c>
      <c r="AH158" s="29" t="s">
        <v>18</v>
      </c>
      <c r="AI158" s="29" t="s">
        <v>27</v>
      </c>
      <c r="AJ158" s="29">
        <v>4.7232876712328764</v>
      </c>
      <c r="AK158" s="29" t="s">
        <v>20</v>
      </c>
    </row>
    <row r="159" spans="7:37" x14ac:dyDescent="0.25">
      <c r="G159" s="33"/>
      <c r="Z159" s="29" t="s">
        <v>133</v>
      </c>
      <c r="AA159" s="29" t="s">
        <v>134</v>
      </c>
      <c r="AB159" s="29" t="s">
        <v>15</v>
      </c>
      <c r="AC159" s="29" t="s">
        <v>25</v>
      </c>
      <c r="AD159" s="29">
        <v>90884.32</v>
      </c>
      <c r="AE159" s="29" t="s">
        <v>26</v>
      </c>
      <c r="AF159" s="29">
        <v>44039</v>
      </c>
      <c r="AG159" s="29">
        <v>0.5</v>
      </c>
      <c r="AH159" s="29" t="s">
        <v>18</v>
      </c>
      <c r="AI159" s="29" t="s">
        <v>72</v>
      </c>
      <c r="AJ159" s="29">
        <v>3.904109589041096</v>
      </c>
      <c r="AK159" s="29" t="s">
        <v>28</v>
      </c>
    </row>
    <row r="160" spans="7:37" x14ac:dyDescent="0.25">
      <c r="G160" s="33"/>
      <c r="Z160" s="29" t="s">
        <v>661</v>
      </c>
      <c r="AA160" s="29" t="s">
        <v>662</v>
      </c>
      <c r="AB160" s="29" t="s">
        <v>15</v>
      </c>
      <c r="AC160" s="29" t="s">
        <v>58</v>
      </c>
      <c r="AD160" s="29">
        <v>69709.509999999995</v>
      </c>
      <c r="AE160" s="29" t="s">
        <v>26</v>
      </c>
      <c r="AF160" s="29">
        <v>43472</v>
      </c>
      <c r="AG160" s="29">
        <v>1</v>
      </c>
      <c r="AH160" s="29" t="s">
        <v>18</v>
      </c>
      <c r="AI160" s="29" t="s">
        <v>41</v>
      </c>
      <c r="AJ160" s="29">
        <v>5.4575342465753423</v>
      </c>
      <c r="AK160" s="29" t="s">
        <v>20</v>
      </c>
    </row>
    <row r="161" spans="7:37" x14ac:dyDescent="0.25">
      <c r="G161" s="33"/>
      <c r="Z161" s="29" t="s">
        <v>719</v>
      </c>
      <c r="AA161" s="29" t="s">
        <v>720</v>
      </c>
      <c r="AB161" s="29" t="s">
        <v>49</v>
      </c>
      <c r="AC161" s="29" t="s">
        <v>101</v>
      </c>
      <c r="AD161" s="29">
        <v>98012.63</v>
      </c>
      <c r="AE161" s="29" t="s">
        <v>26</v>
      </c>
      <c r="AF161" s="29">
        <v>43780</v>
      </c>
      <c r="AG161" s="29">
        <v>1</v>
      </c>
      <c r="AH161" s="29" t="s">
        <v>18</v>
      </c>
      <c r="AI161" s="29" t="s">
        <v>19</v>
      </c>
      <c r="AJ161" s="29">
        <v>4.6136986301369864</v>
      </c>
      <c r="AK161" s="29" t="s">
        <v>20</v>
      </c>
    </row>
    <row r="162" spans="7:37" x14ac:dyDescent="0.25">
      <c r="G162" s="33"/>
      <c r="Z162" s="29" t="s">
        <v>692</v>
      </c>
      <c r="AA162" s="29" t="s">
        <v>693</v>
      </c>
      <c r="AB162" s="29" t="s">
        <v>15</v>
      </c>
      <c r="AC162" s="29" t="s">
        <v>97</v>
      </c>
      <c r="AD162" s="29">
        <v>28329.77</v>
      </c>
      <c r="AE162" s="29" t="s">
        <v>65</v>
      </c>
      <c r="AF162" s="29">
        <v>43402</v>
      </c>
      <c r="AG162" s="29">
        <v>1</v>
      </c>
      <c r="AH162" s="29" t="s">
        <v>18</v>
      </c>
      <c r="AI162" s="29" t="s">
        <v>27</v>
      </c>
      <c r="AJ162" s="29">
        <v>5.6493150684931503</v>
      </c>
      <c r="AK162" s="29" t="s">
        <v>20</v>
      </c>
    </row>
    <row r="163" spans="7:37" x14ac:dyDescent="0.25">
      <c r="G163" s="33"/>
      <c r="Z163" s="29" t="s">
        <v>253</v>
      </c>
      <c r="AA163" s="29" t="s">
        <v>254</v>
      </c>
      <c r="AB163" s="29" t="s">
        <v>49</v>
      </c>
      <c r="AC163" s="29" t="s">
        <v>97</v>
      </c>
      <c r="AD163" s="29">
        <v>67957.899999999994</v>
      </c>
      <c r="AE163" s="29" t="s">
        <v>26</v>
      </c>
      <c r="AF163" s="29">
        <v>43430</v>
      </c>
      <c r="AG163" s="29">
        <v>1</v>
      </c>
      <c r="AH163" s="29" t="s">
        <v>18</v>
      </c>
      <c r="AI163" s="29" t="s">
        <v>84</v>
      </c>
      <c r="AJ163" s="29">
        <v>5.5726027397260278</v>
      </c>
      <c r="AK163" s="29" t="s">
        <v>20</v>
      </c>
    </row>
    <row r="164" spans="7:37" x14ac:dyDescent="0.25">
      <c r="G164" s="33"/>
      <c r="Z164" s="29" t="s">
        <v>157</v>
      </c>
      <c r="AA164" s="29" t="s">
        <v>158</v>
      </c>
      <c r="AB164" s="29" t="s">
        <v>24</v>
      </c>
      <c r="AC164" s="29" t="s">
        <v>101</v>
      </c>
      <c r="AD164" s="29">
        <v>69163.39</v>
      </c>
      <c r="AE164" s="29" t="s">
        <v>26</v>
      </c>
      <c r="AF164" s="29">
        <v>43397</v>
      </c>
      <c r="AG164" s="29">
        <v>1</v>
      </c>
      <c r="AH164" s="29" t="s">
        <v>18</v>
      </c>
      <c r="AI164" s="29" t="s">
        <v>19</v>
      </c>
      <c r="AJ164" s="29">
        <v>5.6630136986301371</v>
      </c>
      <c r="AK164" s="29" t="s">
        <v>20</v>
      </c>
    </row>
    <row r="165" spans="7:37" x14ac:dyDescent="0.25">
      <c r="G165" s="33"/>
      <c r="Z165" s="29" t="s">
        <v>157</v>
      </c>
      <c r="AA165" s="29" t="s">
        <v>158</v>
      </c>
      <c r="AB165" s="29" t="s">
        <v>24</v>
      </c>
      <c r="AC165" s="29" t="s">
        <v>101</v>
      </c>
      <c r="AD165" s="29">
        <v>69163.39</v>
      </c>
      <c r="AE165" s="29" t="s">
        <v>26</v>
      </c>
      <c r="AF165" s="29">
        <v>43397</v>
      </c>
      <c r="AG165" s="29">
        <v>1</v>
      </c>
      <c r="AH165" s="29" t="s">
        <v>18</v>
      </c>
      <c r="AI165" s="29" t="s">
        <v>19</v>
      </c>
      <c r="AJ165" s="29">
        <v>5.6630136986301371</v>
      </c>
      <c r="AK165" s="29" t="s">
        <v>20</v>
      </c>
    </row>
    <row r="166" spans="7:37" x14ac:dyDescent="0.25">
      <c r="G166" s="33"/>
      <c r="Z166" s="29" t="s">
        <v>493</v>
      </c>
      <c r="AA166" s="29" t="s">
        <v>494</v>
      </c>
      <c r="AB166" s="29" t="s">
        <v>15</v>
      </c>
      <c r="AC166" s="29" t="s">
        <v>105</v>
      </c>
      <c r="AD166" s="29">
        <v>96753.78</v>
      </c>
      <c r="AE166" s="29" t="s">
        <v>26</v>
      </c>
      <c r="AF166" s="29">
        <v>44494</v>
      </c>
      <c r="AG166" s="29">
        <v>1</v>
      </c>
      <c r="AH166" s="29" t="s">
        <v>18</v>
      </c>
      <c r="AI166" s="29" t="s">
        <v>77</v>
      </c>
      <c r="AJ166" s="29">
        <v>2.6575342465753424</v>
      </c>
      <c r="AK166" s="29" t="s">
        <v>20</v>
      </c>
    </row>
    <row r="167" spans="7:37" x14ac:dyDescent="0.25">
      <c r="G167" s="33"/>
      <c r="Z167" s="29" t="s">
        <v>493</v>
      </c>
      <c r="AA167" s="29" t="s">
        <v>494</v>
      </c>
      <c r="AB167" s="29" t="s">
        <v>15</v>
      </c>
      <c r="AC167" s="29" t="s">
        <v>105</v>
      </c>
      <c r="AD167" s="29">
        <v>96753.78</v>
      </c>
      <c r="AE167" s="29" t="s">
        <v>26</v>
      </c>
      <c r="AF167" s="29">
        <v>44494</v>
      </c>
      <c r="AG167" s="29">
        <v>1</v>
      </c>
      <c r="AH167" s="29" t="s">
        <v>18</v>
      </c>
      <c r="AI167" s="29" t="s">
        <v>77</v>
      </c>
      <c r="AJ167" s="29">
        <v>2.6575342465753424</v>
      </c>
      <c r="AK167" s="29" t="s">
        <v>20</v>
      </c>
    </row>
    <row r="168" spans="7:37" x14ac:dyDescent="0.25">
      <c r="G168" s="33"/>
      <c r="Z168" s="29" t="s">
        <v>496</v>
      </c>
      <c r="AA168" s="29" t="s">
        <v>497</v>
      </c>
      <c r="AB168" s="29" t="s">
        <v>24</v>
      </c>
      <c r="AC168" s="29" t="s">
        <v>50</v>
      </c>
      <c r="AD168" s="29">
        <v>28974.03</v>
      </c>
      <c r="AE168" s="29" t="s">
        <v>65</v>
      </c>
      <c r="AF168" s="29">
        <v>43733</v>
      </c>
      <c r="AG168" s="29">
        <v>1</v>
      </c>
      <c r="AH168" s="29" t="s">
        <v>18</v>
      </c>
      <c r="AI168" s="29" t="s">
        <v>77</v>
      </c>
      <c r="AJ168" s="29">
        <v>4.7424657534246579</v>
      </c>
      <c r="AK168" s="29" t="s">
        <v>20</v>
      </c>
    </row>
    <row r="169" spans="7:37" x14ac:dyDescent="0.25">
      <c r="G169" s="33"/>
      <c r="Z169" s="29" t="s">
        <v>39</v>
      </c>
      <c r="AA169" s="29" t="s">
        <v>40</v>
      </c>
      <c r="AB169" s="29" t="s">
        <v>24</v>
      </c>
      <c r="AC169" s="29" t="s">
        <v>36</v>
      </c>
      <c r="AD169" s="29">
        <v>57002.02</v>
      </c>
      <c r="AE169" s="29" t="s">
        <v>26</v>
      </c>
      <c r="AF169" s="29">
        <v>43192</v>
      </c>
      <c r="AG169" s="29">
        <v>0.7</v>
      </c>
      <c r="AH169" s="29" t="s">
        <v>18</v>
      </c>
      <c r="AI169" s="29" t="s">
        <v>41</v>
      </c>
      <c r="AJ169" s="29">
        <v>6.2246575342465755</v>
      </c>
      <c r="AK169" s="29" t="s">
        <v>28</v>
      </c>
    </row>
    <row r="170" spans="7:37" x14ac:dyDescent="0.25">
      <c r="G170" s="33"/>
      <c r="Z170" s="29" t="s">
        <v>440</v>
      </c>
      <c r="AA170" s="29" t="s">
        <v>441</v>
      </c>
      <c r="AB170" s="29" t="s">
        <v>24</v>
      </c>
      <c r="AC170" s="29" t="s">
        <v>25</v>
      </c>
      <c r="AD170" s="29">
        <v>33031.26</v>
      </c>
      <c r="AE170" s="29" t="s">
        <v>65</v>
      </c>
      <c r="AF170" s="29">
        <v>43468</v>
      </c>
      <c r="AG170" s="29">
        <v>0.4</v>
      </c>
      <c r="AH170" s="29" t="s">
        <v>18</v>
      </c>
      <c r="AI170" s="29" t="s">
        <v>41</v>
      </c>
      <c r="AJ170" s="29">
        <v>5.4684931506849317</v>
      </c>
      <c r="AK170" s="29" t="s">
        <v>28</v>
      </c>
    </row>
    <row r="171" spans="7:37" x14ac:dyDescent="0.25">
      <c r="G171" s="33"/>
      <c r="Z171" s="29" t="s">
        <v>232</v>
      </c>
      <c r="AA171" s="29" t="s">
        <v>233</v>
      </c>
      <c r="AB171" s="29" t="s">
        <v>24</v>
      </c>
      <c r="AC171" s="29" t="s">
        <v>105</v>
      </c>
      <c r="AD171" s="29">
        <v>84762.76</v>
      </c>
      <c r="AE171" s="29" t="s">
        <v>26</v>
      </c>
      <c r="AF171" s="29">
        <v>43332</v>
      </c>
      <c r="AG171" s="29">
        <v>1</v>
      </c>
      <c r="AH171" s="29" t="s">
        <v>18</v>
      </c>
      <c r="AI171" s="29" t="s">
        <v>41</v>
      </c>
      <c r="AJ171" s="29">
        <v>5.8410958904109593</v>
      </c>
      <c r="AK171" s="29" t="s">
        <v>20</v>
      </c>
    </row>
    <row r="172" spans="7:37" x14ac:dyDescent="0.25">
      <c r="G172" s="33"/>
      <c r="Z172" s="29" t="s">
        <v>723</v>
      </c>
      <c r="AA172" s="29" t="s">
        <v>724</v>
      </c>
      <c r="AB172" s="29" t="s">
        <v>15</v>
      </c>
      <c r="AC172" s="29" t="s">
        <v>16</v>
      </c>
      <c r="AD172" s="29">
        <v>92943.89</v>
      </c>
      <c r="AE172" s="29" t="s">
        <v>26</v>
      </c>
      <c r="AF172" s="29">
        <v>44510</v>
      </c>
      <c r="AG172" s="29">
        <v>1</v>
      </c>
      <c r="AH172" s="29" t="s">
        <v>18</v>
      </c>
      <c r="AI172" s="29" t="s">
        <v>41</v>
      </c>
      <c r="AJ172" s="29">
        <v>2.6136986301369864</v>
      </c>
      <c r="AK172" s="29" t="s">
        <v>20</v>
      </c>
    </row>
    <row r="173" spans="7:37" x14ac:dyDescent="0.25">
      <c r="G173" s="33"/>
      <c r="Z173" s="29" t="s">
        <v>208</v>
      </c>
      <c r="AA173" s="29" t="s">
        <v>209</v>
      </c>
      <c r="AB173" s="29" t="s">
        <v>24</v>
      </c>
      <c r="AC173" s="29" t="s">
        <v>58</v>
      </c>
      <c r="AD173" s="29">
        <v>39700.82</v>
      </c>
      <c r="AE173" s="29" t="s">
        <v>65</v>
      </c>
      <c r="AF173" s="29">
        <v>44203</v>
      </c>
      <c r="AG173" s="29">
        <v>0.8</v>
      </c>
      <c r="AH173" s="29" t="s">
        <v>18</v>
      </c>
      <c r="AI173" s="29" t="s">
        <v>84</v>
      </c>
      <c r="AJ173" s="29">
        <v>3.4547945205479453</v>
      </c>
      <c r="AK173" s="29" t="s">
        <v>28</v>
      </c>
    </row>
    <row r="174" spans="7:37" x14ac:dyDescent="0.25">
      <c r="G174" s="33"/>
      <c r="Z174" s="29" t="s">
        <v>592</v>
      </c>
      <c r="AA174" s="29" t="s">
        <v>731</v>
      </c>
      <c r="AB174" s="29" t="s">
        <v>24</v>
      </c>
      <c r="AC174" s="29" t="s">
        <v>58</v>
      </c>
      <c r="AD174" s="29">
        <v>39700.82</v>
      </c>
      <c r="AE174" s="29" t="s">
        <v>65</v>
      </c>
      <c r="AF174" s="29">
        <v>44203</v>
      </c>
      <c r="AG174" s="29">
        <v>0.8</v>
      </c>
      <c r="AH174" s="29" t="s">
        <v>18</v>
      </c>
      <c r="AI174" s="29" t="s">
        <v>84</v>
      </c>
      <c r="AJ174" s="29">
        <v>3.4547945205479453</v>
      </c>
      <c r="AK174" s="29" t="s">
        <v>28</v>
      </c>
    </row>
    <row r="175" spans="7:37" x14ac:dyDescent="0.25">
      <c r="G175" s="33"/>
      <c r="Z175" s="29" t="s">
        <v>378</v>
      </c>
      <c r="AA175" s="29" t="s">
        <v>379</v>
      </c>
      <c r="AB175" s="29" t="s">
        <v>15</v>
      </c>
      <c r="AC175" s="29" t="s">
        <v>25</v>
      </c>
      <c r="AD175" s="29">
        <v>39784.239999999998</v>
      </c>
      <c r="AE175" s="29" t="s">
        <v>65</v>
      </c>
      <c r="AF175" s="29">
        <v>43465</v>
      </c>
      <c r="AG175" s="29">
        <v>1</v>
      </c>
      <c r="AH175" s="29" t="s">
        <v>37</v>
      </c>
      <c r="AI175" s="29" t="s">
        <v>84</v>
      </c>
      <c r="AJ175" s="29">
        <v>5.4767123287671229</v>
      </c>
      <c r="AK175" s="29" t="s">
        <v>20</v>
      </c>
    </row>
    <row r="176" spans="7:37" x14ac:dyDescent="0.25">
      <c r="G176" s="33"/>
      <c r="Z176" s="29" t="s">
        <v>555</v>
      </c>
      <c r="AA176" s="29" t="s">
        <v>556</v>
      </c>
      <c r="AB176" s="29" t="s">
        <v>15</v>
      </c>
      <c r="AC176" s="29" t="s">
        <v>54</v>
      </c>
      <c r="AD176" s="29">
        <v>31816.57</v>
      </c>
      <c r="AE176" s="29" t="s">
        <v>65</v>
      </c>
      <c r="AF176" s="29">
        <v>43497</v>
      </c>
      <c r="AG176" s="29">
        <v>0.3</v>
      </c>
      <c r="AH176" s="29" t="s">
        <v>37</v>
      </c>
      <c r="AI176" s="29" t="s">
        <v>19</v>
      </c>
      <c r="AJ176" s="29">
        <v>5.3890410958904109</v>
      </c>
      <c r="AK176" s="29" t="s">
        <v>28</v>
      </c>
    </row>
    <row r="177" spans="7:37" x14ac:dyDescent="0.25">
      <c r="G177" s="33"/>
      <c r="Z177" s="29" t="s">
        <v>181</v>
      </c>
      <c r="AA177" s="29" t="s">
        <v>182</v>
      </c>
      <c r="AB177" s="29" t="s">
        <v>24</v>
      </c>
      <c r="AC177" s="29" t="s">
        <v>124</v>
      </c>
      <c r="AD177" s="29">
        <v>67818.14</v>
      </c>
      <c r="AE177" s="29" t="s">
        <v>26</v>
      </c>
      <c r="AF177" s="29">
        <v>43406</v>
      </c>
      <c r="AG177" s="29">
        <v>0.6</v>
      </c>
      <c r="AH177" s="29" t="s">
        <v>37</v>
      </c>
      <c r="AI177" s="29" t="s">
        <v>19</v>
      </c>
      <c r="AJ177" s="29">
        <v>5.6383561643835618</v>
      </c>
      <c r="AK177" s="29" t="s">
        <v>28</v>
      </c>
    </row>
    <row r="178" spans="7:37" x14ac:dyDescent="0.25">
      <c r="G178" s="33"/>
      <c r="Z178" s="29" t="s">
        <v>181</v>
      </c>
      <c r="AA178" s="29" t="s">
        <v>182</v>
      </c>
      <c r="AB178" s="29" t="s">
        <v>24</v>
      </c>
      <c r="AC178" s="29" t="s">
        <v>124</v>
      </c>
      <c r="AD178" s="29">
        <v>67818.14</v>
      </c>
      <c r="AE178" s="29" t="s">
        <v>26</v>
      </c>
      <c r="AF178" s="29">
        <v>43406</v>
      </c>
      <c r="AG178" s="29">
        <v>0.6</v>
      </c>
      <c r="AH178" s="29" t="s">
        <v>37</v>
      </c>
      <c r="AI178" s="29" t="s">
        <v>19</v>
      </c>
      <c r="AJ178" s="29">
        <v>5.6383561643835618</v>
      </c>
      <c r="AK178" s="29" t="s">
        <v>28</v>
      </c>
    </row>
    <row r="179" spans="7:37" x14ac:dyDescent="0.25">
      <c r="G179" s="33"/>
      <c r="Z179" s="29" t="s">
        <v>196</v>
      </c>
      <c r="AA179" s="29" t="s">
        <v>197</v>
      </c>
      <c r="AB179" s="29" t="s">
        <v>15</v>
      </c>
      <c r="AC179" s="29" t="s">
        <v>36</v>
      </c>
      <c r="AD179" s="29">
        <v>79567.69</v>
      </c>
      <c r="AE179" s="29" t="s">
        <v>26</v>
      </c>
      <c r="AF179" s="29">
        <v>43272</v>
      </c>
      <c r="AG179" s="29">
        <v>1</v>
      </c>
      <c r="AH179" s="29" t="s">
        <v>37</v>
      </c>
      <c r="AI179" s="29" t="s">
        <v>84</v>
      </c>
      <c r="AJ179" s="29">
        <v>6.0054794520547947</v>
      </c>
      <c r="AK179" s="29" t="s">
        <v>20</v>
      </c>
    </row>
    <row r="180" spans="7:37" x14ac:dyDescent="0.25">
      <c r="G180" s="33"/>
      <c r="Z180" s="29" t="s">
        <v>220</v>
      </c>
      <c r="AA180" s="29" t="s">
        <v>221</v>
      </c>
      <c r="AB180" s="29" t="s">
        <v>15</v>
      </c>
      <c r="AC180" s="29" t="s">
        <v>97</v>
      </c>
      <c r="AD180" s="29">
        <v>72876.91</v>
      </c>
      <c r="AE180" s="29" t="s">
        <v>26</v>
      </c>
      <c r="AF180" s="29">
        <v>43612</v>
      </c>
      <c r="AG180" s="29">
        <v>0.4</v>
      </c>
      <c r="AH180" s="29" t="s">
        <v>37</v>
      </c>
      <c r="AI180" s="29" t="s">
        <v>77</v>
      </c>
      <c r="AJ180" s="29">
        <v>5.0739726027397261</v>
      </c>
      <c r="AK180" s="29" t="s">
        <v>28</v>
      </c>
    </row>
    <row r="181" spans="7:37" x14ac:dyDescent="0.25">
      <c r="G181" s="33"/>
      <c r="Z181" s="29" t="s">
        <v>570</v>
      </c>
      <c r="AA181" s="29" t="s">
        <v>571</v>
      </c>
      <c r="AB181" s="29" t="s">
        <v>15</v>
      </c>
      <c r="AC181" s="29" t="s">
        <v>58</v>
      </c>
      <c r="AD181" s="29">
        <v>78705.929999999993</v>
      </c>
      <c r="AE181" s="29" t="s">
        <v>26</v>
      </c>
      <c r="AF181" s="29">
        <v>43409</v>
      </c>
      <c r="AG181" s="29">
        <v>1</v>
      </c>
      <c r="AH181" s="29" t="s">
        <v>37</v>
      </c>
      <c r="AI181" s="29" t="s">
        <v>27</v>
      </c>
      <c r="AJ181" s="29">
        <v>5.6301369863013697</v>
      </c>
      <c r="AK181" s="29" t="s">
        <v>20</v>
      </c>
    </row>
    <row r="182" spans="7:37" x14ac:dyDescent="0.25">
      <c r="G182" s="33"/>
      <c r="Z182" s="29" t="s">
        <v>107</v>
      </c>
      <c r="AA182" s="29" t="s">
        <v>108</v>
      </c>
      <c r="AB182" s="29" t="s">
        <v>15</v>
      </c>
      <c r="AC182" s="29" t="s">
        <v>16</v>
      </c>
      <c r="AD182" s="29">
        <v>43329.22</v>
      </c>
      <c r="AE182" s="29" t="s">
        <v>65</v>
      </c>
      <c r="AF182" s="29">
        <v>43809</v>
      </c>
      <c r="AG182" s="29">
        <v>0.5</v>
      </c>
      <c r="AH182" s="29" t="s">
        <v>37</v>
      </c>
      <c r="AI182" s="29" t="s">
        <v>19</v>
      </c>
      <c r="AJ182" s="29">
        <v>4.5342465753424657</v>
      </c>
      <c r="AK182" s="29" t="s">
        <v>28</v>
      </c>
    </row>
    <row r="183" spans="7:37" x14ac:dyDescent="0.25">
      <c r="G183" s="33"/>
      <c r="Z183" s="29" t="s">
        <v>304</v>
      </c>
      <c r="AA183" s="29" t="s">
        <v>305</v>
      </c>
      <c r="AB183" s="29" t="s">
        <v>24</v>
      </c>
      <c r="AC183" s="29" t="s">
        <v>58</v>
      </c>
      <c r="AD183" s="29">
        <v>99683.67</v>
      </c>
      <c r="AE183" s="29" t="s">
        <v>26</v>
      </c>
      <c r="AF183" s="29">
        <v>43500</v>
      </c>
      <c r="AG183" s="29">
        <v>1</v>
      </c>
      <c r="AH183" s="29" t="s">
        <v>37</v>
      </c>
      <c r="AI183" s="29" t="s">
        <v>27</v>
      </c>
      <c r="AJ183" s="29">
        <v>5.3808219178082188</v>
      </c>
      <c r="AK183" s="29" t="s">
        <v>20</v>
      </c>
    </row>
    <row r="184" spans="7:37" x14ac:dyDescent="0.25">
      <c r="G184" s="33"/>
      <c r="Z184" s="29" t="s">
        <v>304</v>
      </c>
      <c r="AA184" s="29" t="s">
        <v>305</v>
      </c>
      <c r="AB184" s="29" t="s">
        <v>24</v>
      </c>
      <c r="AC184" s="29" t="s">
        <v>58</v>
      </c>
      <c r="AD184" s="29">
        <v>99683.67</v>
      </c>
      <c r="AE184" s="29" t="s">
        <v>26</v>
      </c>
      <c r="AF184" s="29">
        <v>43500</v>
      </c>
      <c r="AG184" s="29">
        <v>1</v>
      </c>
      <c r="AH184" s="29" t="s">
        <v>37</v>
      </c>
      <c r="AI184" s="29" t="s">
        <v>27</v>
      </c>
      <c r="AJ184" s="29">
        <v>5.3808219178082188</v>
      </c>
      <c r="AK184" s="29" t="s">
        <v>20</v>
      </c>
    </row>
    <row r="185" spans="7:37" x14ac:dyDescent="0.25">
      <c r="G185" s="33"/>
      <c r="Z185" s="29" t="s">
        <v>265</v>
      </c>
      <c r="AA185" s="29" t="s">
        <v>266</v>
      </c>
      <c r="AB185" s="29" t="s">
        <v>15</v>
      </c>
      <c r="AC185" s="29" t="s">
        <v>124</v>
      </c>
      <c r="AD185" s="29">
        <v>106775.14</v>
      </c>
      <c r="AE185" s="29" t="s">
        <v>17</v>
      </c>
      <c r="AF185" s="29">
        <v>43563</v>
      </c>
      <c r="AG185" s="29">
        <v>1</v>
      </c>
      <c r="AH185" s="29" t="s">
        <v>37</v>
      </c>
      <c r="AI185" s="29" t="s">
        <v>41</v>
      </c>
      <c r="AJ185" s="29">
        <v>5.2082191780821914</v>
      </c>
      <c r="AK185" s="29" t="s">
        <v>20</v>
      </c>
    </row>
    <row r="186" spans="7:37" x14ac:dyDescent="0.25">
      <c r="G186" s="33"/>
      <c r="Z186" s="29" t="s">
        <v>363</v>
      </c>
      <c r="AA186" s="29" t="s">
        <v>364</v>
      </c>
      <c r="AB186" s="29" t="s">
        <v>15</v>
      </c>
      <c r="AC186" s="29" t="s">
        <v>124</v>
      </c>
      <c r="AD186" s="29">
        <v>106775.14</v>
      </c>
      <c r="AE186" s="29" t="s">
        <v>17</v>
      </c>
      <c r="AF186" s="29">
        <v>43563</v>
      </c>
      <c r="AG186" s="29">
        <v>1</v>
      </c>
      <c r="AH186" s="29" t="s">
        <v>37</v>
      </c>
      <c r="AI186" s="29" t="s">
        <v>41</v>
      </c>
      <c r="AJ186" s="29">
        <v>5.2082191780821914</v>
      </c>
      <c r="AK186" s="29" t="s">
        <v>20</v>
      </c>
    </row>
    <row r="187" spans="7:37" x14ac:dyDescent="0.25">
      <c r="G187" s="33"/>
      <c r="Z187" s="29" t="s">
        <v>540</v>
      </c>
      <c r="AA187" s="29" t="s">
        <v>541</v>
      </c>
      <c r="AB187" s="29" t="s">
        <v>24</v>
      </c>
      <c r="AC187" s="29" t="s">
        <v>97</v>
      </c>
      <c r="AD187" s="29">
        <v>73488.679999999993</v>
      </c>
      <c r="AE187" s="29" t="s">
        <v>26</v>
      </c>
      <c r="AF187" s="29">
        <v>43570</v>
      </c>
      <c r="AG187" s="29">
        <v>1</v>
      </c>
      <c r="AH187" s="29" t="s">
        <v>37</v>
      </c>
      <c r="AI187" s="29" t="s">
        <v>27</v>
      </c>
      <c r="AJ187" s="29">
        <v>5.1890410958904107</v>
      </c>
      <c r="AK187" s="29" t="s">
        <v>20</v>
      </c>
    </row>
    <row r="188" spans="7:37" x14ac:dyDescent="0.25">
      <c r="G188" s="33"/>
      <c r="Z188" s="29" t="s">
        <v>384</v>
      </c>
      <c r="AA188" s="29" t="s">
        <v>385</v>
      </c>
      <c r="AB188" s="29" t="s">
        <v>15</v>
      </c>
      <c r="AC188" s="29" t="s">
        <v>131</v>
      </c>
      <c r="AD188" s="29">
        <v>72843.23</v>
      </c>
      <c r="AE188" s="29" t="s">
        <v>26</v>
      </c>
      <c r="AF188" s="29">
        <v>43280</v>
      </c>
      <c r="AG188" s="29">
        <v>1</v>
      </c>
      <c r="AH188" s="29" t="s">
        <v>37</v>
      </c>
      <c r="AI188" s="29" t="s">
        <v>45</v>
      </c>
      <c r="AJ188" s="29">
        <v>5.9835616438356167</v>
      </c>
      <c r="AK188" s="29" t="s">
        <v>20</v>
      </c>
    </row>
    <row r="189" spans="7:37" x14ac:dyDescent="0.25">
      <c r="G189" s="33"/>
      <c r="Z189" s="29" t="s">
        <v>238</v>
      </c>
      <c r="AA189" s="29" t="s">
        <v>577</v>
      </c>
      <c r="AB189" s="29" t="s">
        <v>24</v>
      </c>
      <c r="AC189" s="29" t="s">
        <v>124</v>
      </c>
      <c r="AD189" s="29">
        <v>91929.69</v>
      </c>
      <c r="AE189" s="29" t="s">
        <v>26</v>
      </c>
      <c r="AF189" s="29">
        <v>44085</v>
      </c>
      <c r="AG189" s="29">
        <v>1</v>
      </c>
      <c r="AH189" s="29" t="s">
        <v>37</v>
      </c>
      <c r="AI189" s="29" t="s">
        <v>19</v>
      </c>
      <c r="AJ189" s="29">
        <v>3.7780821917808218</v>
      </c>
      <c r="AK189" s="29" t="s">
        <v>20</v>
      </c>
    </row>
    <row r="190" spans="7:37" x14ac:dyDescent="0.25">
      <c r="G190" s="33"/>
      <c r="Z190" s="29" t="s">
        <v>543</v>
      </c>
      <c r="AA190" s="29" t="s">
        <v>544</v>
      </c>
      <c r="AB190" s="29" t="s">
        <v>24</v>
      </c>
      <c r="AC190" s="29" t="s">
        <v>97</v>
      </c>
      <c r="AD190" s="29">
        <v>92704.48</v>
      </c>
      <c r="AE190" s="29" t="s">
        <v>26</v>
      </c>
      <c r="AF190" s="29">
        <v>43430</v>
      </c>
      <c r="AG190" s="29">
        <v>1</v>
      </c>
      <c r="AH190" s="29" t="s">
        <v>37</v>
      </c>
      <c r="AI190" s="29" t="s">
        <v>72</v>
      </c>
      <c r="AJ190" s="29">
        <v>5.5726027397260278</v>
      </c>
      <c r="AK190" s="29" t="s">
        <v>20</v>
      </c>
    </row>
    <row r="191" spans="7:37" x14ac:dyDescent="0.25">
      <c r="G191" s="33"/>
      <c r="Z191" s="29" t="s">
        <v>154</v>
      </c>
      <c r="AA191" s="29" t="s">
        <v>155</v>
      </c>
      <c r="AB191" s="29" t="s">
        <v>24</v>
      </c>
      <c r="AC191" s="29" t="s">
        <v>50</v>
      </c>
      <c r="AD191" s="29">
        <v>100371.31</v>
      </c>
      <c r="AE191" s="29" t="s">
        <v>17</v>
      </c>
      <c r="AF191" s="29">
        <v>44067</v>
      </c>
      <c r="AG191" s="29">
        <v>0.8</v>
      </c>
      <c r="AH191" s="29" t="s">
        <v>37</v>
      </c>
      <c r="AI191" s="29" t="s">
        <v>77</v>
      </c>
      <c r="AJ191" s="29">
        <v>3.8273972602739725</v>
      </c>
      <c r="AK191" s="29" t="s">
        <v>28</v>
      </c>
    </row>
    <row r="192" spans="7:37" x14ac:dyDescent="0.25">
      <c r="G192" s="33"/>
      <c r="Z192" s="29" t="s">
        <v>695</v>
      </c>
      <c r="AA192" s="29" t="s">
        <v>696</v>
      </c>
      <c r="AB192" s="29" t="s">
        <v>24</v>
      </c>
      <c r="AC192" s="29" t="s">
        <v>36</v>
      </c>
      <c r="AD192" s="29">
        <v>93964.3</v>
      </c>
      <c r="AE192" s="29" t="s">
        <v>26</v>
      </c>
      <c r="AF192" s="29">
        <v>44454</v>
      </c>
      <c r="AG192" s="29">
        <v>0.4</v>
      </c>
      <c r="AH192" s="29" t="s">
        <v>37</v>
      </c>
      <c r="AI192" s="29" t="s">
        <v>41</v>
      </c>
      <c r="AJ192" s="29">
        <v>2.7671232876712328</v>
      </c>
      <c r="AK192" s="29" t="s">
        <v>28</v>
      </c>
    </row>
    <row r="193" spans="7:37" x14ac:dyDescent="0.25">
      <c r="G193" s="33"/>
      <c r="Z193" s="29" t="s">
        <v>238</v>
      </c>
      <c r="AA193" s="29" t="s">
        <v>239</v>
      </c>
      <c r="AB193" s="29" t="s">
        <v>49</v>
      </c>
      <c r="AC193" s="29" t="s">
        <v>97</v>
      </c>
      <c r="AD193" s="29">
        <v>99448.78</v>
      </c>
      <c r="AE193" s="29" t="s">
        <v>26</v>
      </c>
      <c r="AF193" s="29">
        <v>43473</v>
      </c>
      <c r="AG193" s="29">
        <v>1</v>
      </c>
      <c r="AH193" s="29" t="s">
        <v>37</v>
      </c>
      <c r="AI193" s="29" t="s">
        <v>45</v>
      </c>
      <c r="AJ193" s="29">
        <v>5.4547945205479449</v>
      </c>
      <c r="AK193" s="29" t="s">
        <v>20</v>
      </c>
    </row>
    <row r="194" spans="7:37" x14ac:dyDescent="0.25">
      <c r="G194" s="33"/>
      <c r="Z194" s="29" t="s">
        <v>238</v>
      </c>
      <c r="AA194" s="29" t="s">
        <v>239</v>
      </c>
      <c r="AB194" s="29" t="s">
        <v>49</v>
      </c>
      <c r="AC194" s="29" t="s">
        <v>97</v>
      </c>
      <c r="AD194" s="29">
        <v>99448.78</v>
      </c>
      <c r="AE194" s="29" t="s">
        <v>26</v>
      </c>
      <c r="AF194" s="29">
        <v>43473</v>
      </c>
      <c r="AG194" s="29">
        <v>1</v>
      </c>
      <c r="AH194" s="29" t="s">
        <v>37</v>
      </c>
      <c r="AI194" s="29" t="s">
        <v>45</v>
      </c>
      <c r="AJ194" s="29">
        <v>5.4547945205479449</v>
      </c>
      <c r="AK194" s="29" t="s">
        <v>20</v>
      </c>
    </row>
    <row r="195" spans="7:37" x14ac:dyDescent="0.25">
      <c r="G195" s="33"/>
      <c r="Z195" s="29" t="s">
        <v>476</v>
      </c>
      <c r="AA195" s="29" t="s">
        <v>477</v>
      </c>
      <c r="AB195" s="29" t="s">
        <v>15</v>
      </c>
      <c r="AC195" s="29" t="s">
        <v>25</v>
      </c>
      <c r="AD195" s="29">
        <v>69764.100000000006</v>
      </c>
      <c r="AE195" s="29" t="s">
        <v>26</v>
      </c>
      <c r="AF195" s="29">
        <v>44195</v>
      </c>
      <c r="AG195" s="29">
        <v>1</v>
      </c>
      <c r="AH195" s="29" t="s">
        <v>37</v>
      </c>
      <c r="AI195" s="29" t="s">
        <v>27</v>
      </c>
      <c r="AJ195" s="29">
        <v>3.4767123287671233</v>
      </c>
      <c r="AK195" s="29" t="s">
        <v>20</v>
      </c>
    </row>
    <row r="196" spans="7:37" x14ac:dyDescent="0.25">
      <c r="G196" s="33"/>
      <c r="Z196" s="29" t="s">
        <v>301</v>
      </c>
      <c r="AA196" s="29" t="s">
        <v>302</v>
      </c>
      <c r="AB196" s="29" t="s">
        <v>24</v>
      </c>
      <c r="AC196" s="29" t="s">
        <v>50</v>
      </c>
      <c r="AD196" s="29">
        <v>104038.9</v>
      </c>
      <c r="AE196" s="29" t="s">
        <v>17</v>
      </c>
      <c r="AF196" s="29">
        <v>43815</v>
      </c>
      <c r="AG196" s="29">
        <v>1</v>
      </c>
      <c r="AH196" s="29" t="s">
        <v>37</v>
      </c>
      <c r="AI196" s="29" t="s">
        <v>19</v>
      </c>
      <c r="AJ196" s="29">
        <v>4.5178082191780824</v>
      </c>
      <c r="AK196" s="29" t="s">
        <v>20</v>
      </c>
    </row>
    <row r="197" spans="7:37" x14ac:dyDescent="0.25">
      <c r="G197" s="33"/>
      <c r="Z197" s="29" t="s">
        <v>733</v>
      </c>
      <c r="AA197" s="29" t="s">
        <v>734</v>
      </c>
      <c r="AB197" s="29" t="s">
        <v>24</v>
      </c>
      <c r="AC197" s="29" t="s">
        <v>131</v>
      </c>
      <c r="AD197" s="29">
        <v>31089.22</v>
      </c>
      <c r="AE197" s="29" t="s">
        <v>65</v>
      </c>
      <c r="AF197" s="29">
        <v>43776</v>
      </c>
      <c r="AG197" s="29">
        <v>1</v>
      </c>
      <c r="AH197" s="29" t="s">
        <v>37</v>
      </c>
      <c r="AI197" s="29" t="s">
        <v>84</v>
      </c>
      <c r="AJ197" s="29">
        <v>4.624657534246575</v>
      </c>
      <c r="AK197" s="29" t="s">
        <v>20</v>
      </c>
    </row>
    <row r="198" spans="7:37" x14ac:dyDescent="0.25">
      <c r="G198" s="33"/>
      <c r="Z198" s="29" t="s">
        <v>588</v>
      </c>
      <c r="AA198" s="29" t="s">
        <v>589</v>
      </c>
      <c r="AB198" s="29" t="s">
        <v>15</v>
      </c>
      <c r="AC198" s="29" t="s">
        <v>16</v>
      </c>
      <c r="AD198" s="29">
        <v>53184.02</v>
      </c>
      <c r="AE198" s="29" t="s">
        <v>26</v>
      </c>
      <c r="AF198" s="29">
        <v>43180</v>
      </c>
      <c r="AG198" s="29">
        <v>1</v>
      </c>
      <c r="AH198" s="29" t="s">
        <v>37</v>
      </c>
      <c r="AI198" s="29" t="s">
        <v>19</v>
      </c>
      <c r="AJ198" s="29">
        <v>6.2575342465753421</v>
      </c>
      <c r="AK198" s="29" t="s">
        <v>20</v>
      </c>
    </row>
    <row r="199" spans="7:37" x14ac:dyDescent="0.25">
      <c r="G199" s="33"/>
      <c r="Z199" s="29" t="s">
        <v>637</v>
      </c>
      <c r="AA199" s="29" t="s">
        <v>638</v>
      </c>
      <c r="AB199" s="29" t="s">
        <v>24</v>
      </c>
      <c r="AC199" s="29" t="s">
        <v>124</v>
      </c>
      <c r="AD199" s="29">
        <v>49625.64</v>
      </c>
      <c r="AE199" s="29" t="s">
        <v>65</v>
      </c>
      <c r="AF199" s="29">
        <v>44384</v>
      </c>
      <c r="AG199" s="29">
        <v>0.5</v>
      </c>
      <c r="AH199" s="29" t="s">
        <v>37</v>
      </c>
      <c r="AI199" s="29" t="s">
        <v>19</v>
      </c>
      <c r="AJ199" s="29">
        <v>2.9589041095890409</v>
      </c>
      <c r="AK199" s="29" t="s">
        <v>28</v>
      </c>
    </row>
    <row r="200" spans="7:37" x14ac:dyDescent="0.25">
      <c r="G200" s="33"/>
      <c r="Z200" s="29" t="s">
        <v>464</v>
      </c>
      <c r="AA200" s="29" t="s">
        <v>465</v>
      </c>
      <c r="AB200" s="29" t="s">
        <v>15</v>
      </c>
      <c r="AC200" s="29" t="s">
        <v>32</v>
      </c>
      <c r="AD200" s="29">
        <v>47646.95</v>
      </c>
      <c r="AE200" s="29" t="s">
        <v>65</v>
      </c>
      <c r="AF200" s="29">
        <v>43791</v>
      </c>
      <c r="AG200" s="29">
        <v>0.3</v>
      </c>
      <c r="AH200" s="29" t="s">
        <v>37</v>
      </c>
      <c r="AI200" s="29" t="s">
        <v>84</v>
      </c>
      <c r="AJ200" s="29">
        <v>4.5835616438356164</v>
      </c>
      <c r="AK200" s="29" t="s">
        <v>28</v>
      </c>
    </row>
    <row r="201" spans="7:37" x14ac:dyDescent="0.25">
      <c r="G201" s="33"/>
      <c r="Z201" s="29" t="s">
        <v>247</v>
      </c>
      <c r="AA201" s="29" t="s">
        <v>616</v>
      </c>
      <c r="AB201" s="29" t="s">
        <v>15</v>
      </c>
      <c r="AC201" s="29" t="s">
        <v>124</v>
      </c>
      <c r="AD201" s="29">
        <v>89960.6</v>
      </c>
      <c r="AE201" s="29" t="s">
        <v>26</v>
      </c>
      <c r="AF201" s="29">
        <v>43515</v>
      </c>
      <c r="AG201" s="29">
        <v>1</v>
      </c>
      <c r="AH201" s="29" t="s">
        <v>37</v>
      </c>
      <c r="AI201" s="29" t="s">
        <v>77</v>
      </c>
      <c r="AJ201" s="29">
        <v>5.3397260273972602</v>
      </c>
      <c r="AK201" s="29" t="s">
        <v>20</v>
      </c>
    </row>
    <row r="202" spans="7:37" x14ac:dyDescent="0.25">
      <c r="G202" s="33"/>
      <c r="Z202" s="29" t="s">
        <v>711</v>
      </c>
      <c r="AA202" s="29" t="s">
        <v>712</v>
      </c>
      <c r="AB202" s="29" t="s">
        <v>15</v>
      </c>
      <c r="AC202" s="29" t="s">
        <v>105</v>
      </c>
      <c r="AD202" s="29">
        <v>91314.75</v>
      </c>
      <c r="AE202" s="29" t="s">
        <v>26</v>
      </c>
      <c r="AF202" s="29">
        <v>43931</v>
      </c>
      <c r="AG202" s="29">
        <v>1</v>
      </c>
      <c r="AH202" s="29" t="s">
        <v>37</v>
      </c>
      <c r="AI202" s="29" t="s">
        <v>27</v>
      </c>
      <c r="AJ202" s="29">
        <v>4.2</v>
      </c>
      <c r="AK202" s="29" t="s">
        <v>20</v>
      </c>
    </row>
    <row r="203" spans="7:37" x14ac:dyDescent="0.25">
      <c r="G203" s="33"/>
      <c r="Z203" s="29" t="s">
        <v>63</v>
      </c>
      <c r="AA203" s="29" t="s">
        <v>64</v>
      </c>
      <c r="AB203" s="29" t="s">
        <v>24</v>
      </c>
      <c r="AC203" s="29" t="s">
        <v>32</v>
      </c>
      <c r="AD203" s="29">
        <v>42314.39</v>
      </c>
      <c r="AE203" s="29" t="s">
        <v>65</v>
      </c>
      <c r="AF203" s="29">
        <v>44487</v>
      </c>
      <c r="AG203" s="29">
        <v>1</v>
      </c>
      <c r="AH203" s="29" t="s">
        <v>37</v>
      </c>
      <c r="AI203" s="29" t="s">
        <v>19</v>
      </c>
      <c r="AJ203" s="29">
        <v>2.6767123287671235</v>
      </c>
      <c r="AK203" s="29" t="s">
        <v>20</v>
      </c>
    </row>
    <row r="204" spans="7:37" x14ac:dyDescent="0.25">
      <c r="G204" s="33"/>
      <c r="Z204" s="29" t="s">
        <v>479</v>
      </c>
      <c r="AA204" s="29" t="s">
        <v>480</v>
      </c>
      <c r="AB204" s="29" t="s">
        <v>24</v>
      </c>
      <c r="AC204" s="29" t="s">
        <v>105</v>
      </c>
      <c r="AD204" s="29">
        <v>84598.88</v>
      </c>
      <c r="AE204" s="29" t="s">
        <v>26</v>
      </c>
      <c r="AF204" s="29">
        <v>44116</v>
      </c>
      <c r="AG204" s="29">
        <v>1</v>
      </c>
      <c r="AH204" s="29" t="s">
        <v>37</v>
      </c>
      <c r="AI204" s="29" t="s">
        <v>27</v>
      </c>
      <c r="AJ204" s="29">
        <v>3.6931506849315068</v>
      </c>
      <c r="AK204" s="29" t="s">
        <v>20</v>
      </c>
    </row>
    <row r="205" spans="7:37" x14ac:dyDescent="0.25">
      <c r="G205" s="33"/>
      <c r="Z205" s="29" t="s">
        <v>479</v>
      </c>
      <c r="AA205" s="29" t="s">
        <v>480</v>
      </c>
      <c r="AB205" s="29" t="s">
        <v>24</v>
      </c>
      <c r="AC205" s="29" t="s">
        <v>105</v>
      </c>
      <c r="AD205" s="29">
        <v>84598.88</v>
      </c>
      <c r="AE205" s="29" t="s">
        <v>26</v>
      </c>
      <c r="AF205" s="29">
        <v>44116</v>
      </c>
      <c r="AG205" s="29">
        <v>1</v>
      </c>
      <c r="AH205" s="29" t="s">
        <v>37</v>
      </c>
      <c r="AI205" s="29" t="s">
        <v>27</v>
      </c>
      <c r="AJ205" s="29">
        <v>3.6931506849315068</v>
      </c>
      <c r="AK205" s="29" t="s">
        <v>20</v>
      </c>
    </row>
    <row r="206" spans="7:37" x14ac:dyDescent="0.25">
      <c r="G206" s="33"/>
      <c r="Z206" s="29" t="s">
        <v>546</v>
      </c>
      <c r="AA206" s="29" t="s">
        <v>547</v>
      </c>
      <c r="AB206" s="29" t="s">
        <v>15</v>
      </c>
      <c r="AC206" s="29" t="s">
        <v>16</v>
      </c>
      <c r="AD206" s="29">
        <v>78443.78</v>
      </c>
      <c r="AE206" s="29" t="s">
        <v>26</v>
      </c>
      <c r="AF206" s="29">
        <v>43599</v>
      </c>
      <c r="AG206" s="29">
        <v>1</v>
      </c>
      <c r="AH206" s="29" t="s">
        <v>37</v>
      </c>
      <c r="AI206" s="29" t="s">
        <v>41</v>
      </c>
      <c r="AJ206" s="29">
        <v>5.1095890410958908</v>
      </c>
      <c r="AK206" s="29" t="s">
        <v>20</v>
      </c>
    </row>
    <row r="207" spans="7:37" x14ac:dyDescent="0.25">
      <c r="G207" s="33"/>
      <c r="Z207" s="29" t="s">
        <v>664</v>
      </c>
      <c r="AA207" s="29" t="s">
        <v>665</v>
      </c>
      <c r="AB207" s="29" t="s">
        <v>24</v>
      </c>
      <c r="AC207" s="29" t="s">
        <v>58</v>
      </c>
      <c r="AD207" s="29">
        <v>46751.7</v>
      </c>
      <c r="AE207" s="29" t="s">
        <v>65</v>
      </c>
      <c r="AF207" s="29">
        <v>43843</v>
      </c>
      <c r="AG207" s="29">
        <v>1</v>
      </c>
      <c r="AH207" s="29" t="s">
        <v>37</v>
      </c>
      <c r="AI207" s="29" t="s">
        <v>41</v>
      </c>
      <c r="AJ207" s="29">
        <v>4.441095890410959</v>
      </c>
      <c r="AK207" s="29" t="s">
        <v>20</v>
      </c>
    </row>
    <row r="208" spans="7:37" x14ac:dyDescent="0.25">
      <c r="G208" s="33"/>
      <c r="Z208" s="29" t="s">
        <v>178</v>
      </c>
      <c r="AA208" s="29" t="s">
        <v>179</v>
      </c>
      <c r="AB208" s="29" t="s">
        <v>15</v>
      </c>
      <c r="AC208" s="29" t="s">
        <v>101</v>
      </c>
      <c r="AD208" s="29">
        <v>57419.35</v>
      </c>
      <c r="AE208" s="29" t="s">
        <v>26</v>
      </c>
      <c r="AF208" s="29">
        <v>43305</v>
      </c>
      <c r="AG208" s="29">
        <v>1</v>
      </c>
      <c r="AH208" s="29" t="s">
        <v>37</v>
      </c>
      <c r="AI208" s="29" t="s">
        <v>77</v>
      </c>
      <c r="AJ208" s="29">
        <v>5.9150684931506845</v>
      </c>
      <c r="AK208" s="29" t="s">
        <v>20</v>
      </c>
    </row>
    <row r="209" spans="7:37" x14ac:dyDescent="0.25">
      <c r="G209" s="33"/>
      <c r="Z209" s="29" t="s">
        <v>473</v>
      </c>
      <c r="AA209" s="29" t="s">
        <v>474</v>
      </c>
      <c r="AB209" s="29" t="s">
        <v>15</v>
      </c>
      <c r="AC209" s="29" t="s">
        <v>50</v>
      </c>
      <c r="AD209" s="29">
        <v>95017.1</v>
      </c>
      <c r="AE209" s="29" t="s">
        <v>26</v>
      </c>
      <c r="AF209" s="29">
        <v>43283</v>
      </c>
      <c r="AG209" s="29">
        <v>1</v>
      </c>
      <c r="AH209" s="29" t="s">
        <v>37</v>
      </c>
      <c r="AI209" s="29" t="s">
        <v>27</v>
      </c>
      <c r="AJ209" s="29">
        <v>5.9753424657534246</v>
      </c>
      <c r="AK209" s="29" t="s">
        <v>20</v>
      </c>
    </row>
    <row r="210" spans="7:37" x14ac:dyDescent="0.25">
      <c r="G210" s="33"/>
      <c r="Z210" s="29" t="s">
        <v>573</v>
      </c>
      <c r="AA210" s="29" t="s">
        <v>574</v>
      </c>
      <c r="AB210" s="29" t="s">
        <v>15</v>
      </c>
      <c r="AC210" s="29" t="s">
        <v>54</v>
      </c>
      <c r="AD210" s="29">
        <v>53535.62</v>
      </c>
      <c r="AE210" s="29" t="s">
        <v>26</v>
      </c>
      <c r="AF210" s="29">
        <v>44110</v>
      </c>
      <c r="AG210" s="29">
        <v>0.5</v>
      </c>
      <c r="AH210" s="29" t="s">
        <v>37</v>
      </c>
      <c r="AI210" s="29" t="s">
        <v>27</v>
      </c>
      <c r="AJ210" s="29">
        <v>3.7095890410958905</v>
      </c>
      <c r="AK210" s="29" t="s">
        <v>28</v>
      </c>
    </row>
    <row r="211" spans="7:37" x14ac:dyDescent="0.25">
      <c r="G211" s="33"/>
      <c r="Z211" s="29" t="s">
        <v>223</v>
      </c>
      <c r="AA211" s="29" t="s">
        <v>224</v>
      </c>
      <c r="AB211" s="29" t="s">
        <v>24</v>
      </c>
      <c r="AC211" s="29" t="s">
        <v>131</v>
      </c>
      <c r="AD211" s="29">
        <v>31042.51</v>
      </c>
      <c r="AE211" s="29" t="s">
        <v>65</v>
      </c>
      <c r="AF211" s="29">
        <v>44473</v>
      </c>
      <c r="AG211" s="29">
        <v>0.3</v>
      </c>
      <c r="AH211" s="29" t="s">
        <v>37</v>
      </c>
      <c r="AI211" s="29" t="s">
        <v>19</v>
      </c>
      <c r="AJ211" s="29">
        <v>2.7150684931506848</v>
      </c>
      <c r="AK211" s="29" t="s">
        <v>28</v>
      </c>
    </row>
    <row r="212" spans="7:37" x14ac:dyDescent="0.25">
      <c r="G212" s="33"/>
      <c r="Z212" s="29" t="s">
        <v>499</v>
      </c>
      <c r="AA212" s="29" t="s">
        <v>500</v>
      </c>
      <c r="AB212" s="29" t="s">
        <v>24</v>
      </c>
      <c r="AC212" s="29" t="s">
        <v>25</v>
      </c>
      <c r="AD212" s="29">
        <v>86233.83</v>
      </c>
      <c r="AE212" s="29" t="s">
        <v>26</v>
      </c>
      <c r="AF212" s="29">
        <v>43706</v>
      </c>
      <c r="AG212" s="29">
        <v>1</v>
      </c>
      <c r="AH212" s="29" t="s">
        <v>37</v>
      </c>
      <c r="AI212" s="29" t="s">
        <v>84</v>
      </c>
      <c r="AJ212" s="29">
        <v>4.816438356164384</v>
      </c>
      <c r="AK212" s="29" t="s">
        <v>20</v>
      </c>
    </row>
    <row r="213" spans="7:37" x14ac:dyDescent="0.25">
      <c r="G213" s="33"/>
      <c r="Z213" s="29" t="s">
        <v>289</v>
      </c>
      <c r="AA213" s="29" t="s">
        <v>290</v>
      </c>
      <c r="AB213" s="29" t="s">
        <v>24</v>
      </c>
      <c r="AC213" s="29" t="s">
        <v>25</v>
      </c>
      <c r="AD213" s="29">
        <v>86558.58</v>
      </c>
      <c r="AE213" s="29" t="s">
        <v>26</v>
      </c>
      <c r="AF213" s="29">
        <v>43887</v>
      </c>
      <c r="AG213" s="29">
        <v>1</v>
      </c>
      <c r="AH213" s="29" t="s">
        <v>37</v>
      </c>
      <c r="AI213" s="29" t="s">
        <v>19</v>
      </c>
      <c r="AJ213" s="29">
        <v>4.3205479452054796</v>
      </c>
      <c r="AK213" s="29" t="s">
        <v>20</v>
      </c>
    </row>
    <row r="214" spans="7:37" x14ac:dyDescent="0.25">
      <c r="G214" s="33"/>
      <c r="Z214" s="29" t="s">
        <v>399</v>
      </c>
      <c r="AA214" s="29" t="s">
        <v>400</v>
      </c>
      <c r="AB214" s="29" t="s">
        <v>24</v>
      </c>
      <c r="AC214" s="29" t="s">
        <v>101</v>
      </c>
      <c r="AD214" s="29">
        <v>76303.820000000007</v>
      </c>
      <c r="AE214" s="29" t="s">
        <v>26</v>
      </c>
      <c r="AF214" s="29">
        <v>43458</v>
      </c>
      <c r="AG214" s="29">
        <v>1</v>
      </c>
      <c r="AH214" s="29" t="s">
        <v>37</v>
      </c>
      <c r="AI214" s="29" t="s">
        <v>41</v>
      </c>
      <c r="AJ214" s="29">
        <v>5.4958904109589044</v>
      </c>
      <c r="AK214" s="29" t="s">
        <v>20</v>
      </c>
    </row>
    <row r="215" spans="7:37" x14ac:dyDescent="0.25">
      <c r="G215" s="33"/>
      <c r="Z215" s="29" t="s">
        <v>531</v>
      </c>
      <c r="AA215" s="29" t="s">
        <v>532</v>
      </c>
      <c r="AB215" s="29" t="s">
        <v>24</v>
      </c>
      <c r="AC215" s="29" t="s">
        <v>101</v>
      </c>
      <c r="AD215" s="29">
        <v>76303.820000000007</v>
      </c>
      <c r="AE215" s="29" t="s">
        <v>26</v>
      </c>
      <c r="AF215" s="29">
        <v>43458</v>
      </c>
      <c r="AG215" s="29">
        <v>1</v>
      </c>
      <c r="AH215" s="29" t="s">
        <v>37</v>
      </c>
      <c r="AI215" s="29" t="s">
        <v>41</v>
      </c>
      <c r="AJ215" s="29">
        <v>5.4958904109589044</v>
      </c>
      <c r="AK215" s="29" t="s">
        <v>20</v>
      </c>
    </row>
    <row r="216" spans="7:37" x14ac:dyDescent="0.25">
      <c r="G216" s="33"/>
      <c r="Z216" s="29" t="s">
        <v>298</v>
      </c>
      <c r="AA216" s="29" t="s">
        <v>299</v>
      </c>
      <c r="AB216" s="29" t="s">
        <v>24</v>
      </c>
      <c r="AC216" s="29" t="s">
        <v>36</v>
      </c>
      <c r="AD216" s="29">
        <v>101187.36</v>
      </c>
      <c r="AE216" s="29" t="s">
        <v>17</v>
      </c>
      <c r="AF216" s="29">
        <v>43258</v>
      </c>
      <c r="AG216" s="29">
        <v>1</v>
      </c>
      <c r="AH216" s="29" t="s">
        <v>37</v>
      </c>
      <c r="AI216" s="29" t="s">
        <v>72</v>
      </c>
      <c r="AJ216" s="29">
        <v>6.043835616438356</v>
      </c>
      <c r="AK216" s="29" t="s">
        <v>20</v>
      </c>
    </row>
    <row r="217" spans="7:37" x14ac:dyDescent="0.25">
      <c r="G217" s="33"/>
      <c r="Z217" s="29" t="s">
        <v>517</v>
      </c>
      <c r="AA217" s="29" t="s">
        <v>518</v>
      </c>
      <c r="AB217" s="29" t="s">
        <v>15</v>
      </c>
      <c r="AC217" s="29" t="s">
        <v>16</v>
      </c>
      <c r="AD217" s="29">
        <v>61624.77</v>
      </c>
      <c r="AE217" s="29" t="s">
        <v>26</v>
      </c>
      <c r="AF217" s="29">
        <v>43430</v>
      </c>
      <c r="AG217" s="29">
        <v>0.3</v>
      </c>
      <c r="AH217" s="29" t="s">
        <v>37</v>
      </c>
      <c r="AI217" s="29" t="s">
        <v>41</v>
      </c>
      <c r="AJ217" s="29">
        <v>5.5726027397260278</v>
      </c>
      <c r="AK217" s="29" t="s">
        <v>28</v>
      </c>
    </row>
    <row r="218" spans="7:37" x14ac:dyDescent="0.25">
      <c r="G218" s="33"/>
      <c r="Z218" s="29" t="s">
        <v>166</v>
      </c>
      <c r="AA218" s="29" t="s">
        <v>167</v>
      </c>
      <c r="AB218" s="29" t="s">
        <v>24</v>
      </c>
      <c r="AC218" s="29" t="s">
        <v>32</v>
      </c>
      <c r="AD218" s="29">
        <v>31172.77</v>
      </c>
      <c r="AE218" s="29" t="s">
        <v>65</v>
      </c>
      <c r="AF218" s="29">
        <v>43665</v>
      </c>
      <c r="AG218" s="29">
        <v>1</v>
      </c>
      <c r="AH218" s="29" t="s">
        <v>37</v>
      </c>
      <c r="AI218" s="29" t="s">
        <v>19</v>
      </c>
      <c r="AJ218" s="29">
        <v>4.9287671232876713</v>
      </c>
      <c r="AK218" s="29" t="s">
        <v>20</v>
      </c>
    </row>
    <row r="219" spans="7:37" x14ac:dyDescent="0.25">
      <c r="G219" s="33"/>
      <c r="Z219" s="29" t="s">
        <v>600</v>
      </c>
      <c r="AA219" s="29" t="s">
        <v>601</v>
      </c>
      <c r="AB219" s="29" t="s">
        <v>15</v>
      </c>
      <c r="AC219" s="29" t="s">
        <v>101</v>
      </c>
      <c r="AD219" s="29">
        <v>102515.81</v>
      </c>
      <c r="AE219" s="29" t="s">
        <v>17</v>
      </c>
      <c r="AF219" s="29">
        <v>43902</v>
      </c>
      <c r="AG219" s="29">
        <v>1</v>
      </c>
      <c r="AH219" s="29" t="s">
        <v>37</v>
      </c>
      <c r="AI219" s="29" t="s">
        <v>84</v>
      </c>
      <c r="AJ219" s="29">
        <v>4.279452054794521</v>
      </c>
      <c r="AK219" s="29" t="s">
        <v>20</v>
      </c>
    </row>
    <row r="220" spans="7:37" x14ac:dyDescent="0.25">
      <c r="G220" s="33"/>
      <c r="Z220" s="29" t="s">
        <v>34</v>
      </c>
      <c r="AA220" s="29" t="s">
        <v>35</v>
      </c>
      <c r="AB220" s="29" t="s">
        <v>24</v>
      </c>
      <c r="AC220" s="29" t="s">
        <v>36</v>
      </c>
      <c r="AD220" s="29">
        <v>93128.34</v>
      </c>
      <c r="AE220" s="29" t="s">
        <v>26</v>
      </c>
      <c r="AF220" s="29">
        <v>43164</v>
      </c>
      <c r="AG220" s="29">
        <v>1</v>
      </c>
      <c r="AH220" s="29" t="s">
        <v>37</v>
      </c>
      <c r="AI220" s="29" t="s">
        <v>27</v>
      </c>
      <c r="AJ220" s="29">
        <v>6.3013698630136989</v>
      </c>
      <c r="AK220" s="29" t="s">
        <v>20</v>
      </c>
    </row>
    <row r="221" spans="7:37" x14ac:dyDescent="0.25">
      <c r="G221" s="33"/>
      <c r="Z221" s="29" t="s">
        <v>331</v>
      </c>
      <c r="AA221" s="29" t="s">
        <v>332</v>
      </c>
      <c r="AB221" s="29" t="s">
        <v>15</v>
      </c>
      <c r="AC221" s="29" t="s">
        <v>36</v>
      </c>
      <c r="AD221" s="29">
        <v>112778.28</v>
      </c>
      <c r="AE221" s="29" t="s">
        <v>17</v>
      </c>
      <c r="AF221" s="29">
        <v>43250</v>
      </c>
      <c r="AG221" s="29">
        <v>1</v>
      </c>
      <c r="AH221" s="29" t="s">
        <v>37</v>
      </c>
      <c r="AI221" s="29" t="s">
        <v>19</v>
      </c>
      <c r="AJ221" s="29">
        <v>6.065753424657534</v>
      </c>
      <c r="AK221" s="29" t="s">
        <v>20</v>
      </c>
    </row>
    <row r="222" spans="7:37" x14ac:dyDescent="0.25">
      <c r="G222" s="33"/>
      <c r="Z222" s="29" t="s">
        <v>331</v>
      </c>
      <c r="AA222" s="29" t="s">
        <v>332</v>
      </c>
      <c r="AB222" s="29" t="s">
        <v>15</v>
      </c>
      <c r="AC222" s="29" t="s">
        <v>36</v>
      </c>
      <c r="AD222" s="29">
        <v>112778.28</v>
      </c>
      <c r="AE222" s="29" t="s">
        <v>17</v>
      </c>
      <c r="AF222" s="29">
        <v>43250</v>
      </c>
      <c r="AG222" s="29">
        <v>1</v>
      </c>
      <c r="AH222" s="29" t="s">
        <v>37</v>
      </c>
      <c r="AI222" s="29" t="s">
        <v>19</v>
      </c>
      <c r="AJ222" s="29">
        <v>6.065753424657534</v>
      </c>
      <c r="AK222" s="29" t="s">
        <v>20</v>
      </c>
    </row>
    <row r="223" spans="7:37" x14ac:dyDescent="0.25">
      <c r="G223" s="33"/>
      <c r="Z223" s="29" t="s">
        <v>678</v>
      </c>
      <c r="AA223" s="29" t="s">
        <v>679</v>
      </c>
      <c r="AB223" s="29" t="s">
        <v>15</v>
      </c>
      <c r="AC223" s="29" t="s">
        <v>97</v>
      </c>
      <c r="AD223" s="29">
        <v>65569.36</v>
      </c>
      <c r="AE223" s="29" t="s">
        <v>26</v>
      </c>
      <c r="AF223" s="29">
        <v>43293</v>
      </c>
      <c r="AG223" s="29">
        <v>1</v>
      </c>
      <c r="AH223" s="29" t="s">
        <v>37</v>
      </c>
      <c r="AI223" s="29" t="s">
        <v>77</v>
      </c>
      <c r="AJ223" s="29">
        <v>5.9479452054794519</v>
      </c>
      <c r="AK223" s="29" t="s">
        <v>20</v>
      </c>
    </row>
    <row r="224" spans="7:37" x14ac:dyDescent="0.25">
      <c r="G224" s="33"/>
      <c r="Z224" s="29" t="s">
        <v>250</v>
      </c>
      <c r="AA224" s="29" t="s">
        <v>251</v>
      </c>
      <c r="AB224" s="29" t="s">
        <v>24</v>
      </c>
      <c r="AC224" s="29" t="s">
        <v>16</v>
      </c>
      <c r="AD224" s="29">
        <v>51165.37</v>
      </c>
      <c r="AE224" s="29" t="s">
        <v>26</v>
      </c>
      <c r="AF224" s="29">
        <v>44237</v>
      </c>
      <c r="AG224" s="29">
        <v>1</v>
      </c>
      <c r="AH224" s="29" t="s">
        <v>37</v>
      </c>
      <c r="AI224" s="29" t="s">
        <v>41</v>
      </c>
      <c r="AJ224" s="29">
        <v>3.3616438356164382</v>
      </c>
      <c r="AK224" s="29" t="s">
        <v>20</v>
      </c>
    </row>
    <row r="225" spans="7:37" x14ac:dyDescent="0.25">
      <c r="G225" s="33"/>
      <c r="Z225" s="29" t="s">
        <v>229</v>
      </c>
      <c r="AA225" s="29" t="s">
        <v>230</v>
      </c>
      <c r="AB225" s="29" t="s">
        <v>24</v>
      </c>
      <c r="AC225" s="29" t="s">
        <v>58</v>
      </c>
      <c r="AD225" s="29">
        <v>59434.18</v>
      </c>
      <c r="AE225" s="29" t="s">
        <v>26</v>
      </c>
      <c r="AF225" s="29">
        <v>43931</v>
      </c>
      <c r="AG225" s="29">
        <v>1</v>
      </c>
      <c r="AH225" s="29" t="s">
        <v>76</v>
      </c>
      <c r="AI225" s="29" t="s">
        <v>27</v>
      </c>
      <c r="AJ225" s="29">
        <v>4.2</v>
      </c>
      <c r="AK225" s="29" t="s">
        <v>20</v>
      </c>
    </row>
    <row r="226" spans="7:37" x14ac:dyDescent="0.25">
      <c r="G226" s="33"/>
      <c r="Z226" s="29" t="s">
        <v>145</v>
      </c>
      <c r="AA226" s="29" t="s">
        <v>146</v>
      </c>
      <c r="AB226" s="29" t="s">
        <v>15</v>
      </c>
      <c r="AC226" s="29" t="s">
        <v>36</v>
      </c>
      <c r="AD226" s="29">
        <v>53949.26</v>
      </c>
      <c r="AE226" s="29" t="s">
        <v>26</v>
      </c>
      <c r="AF226" s="29">
        <v>43808</v>
      </c>
      <c r="AG226" s="29">
        <v>1</v>
      </c>
      <c r="AH226" s="29" t="s">
        <v>76</v>
      </c>
      <c r="AI226" s="29" t="s">
        <v>72</v>
      </c>
      <c r="AJ226" s="29">
        <v>4.536986301369863</v>
      </c>
      <c r="AK226" s="29" t="s">
        <v>20</v>
      </c>
    </row>
    <row r="227" spans="7:37" x14ac:dyDescent="0.25">
      <c r="G227" s="33"/>
      <c r="Z227" s="29" t="s">
        <v>145</v>
      </c>
      <c r="AA227" s="29" t="s">
        <v>146</v>
      </c>
      <c r="AB227" s="29" t="s">
        <v>15</v>
      </c>
      <c r="AC227" s="29" t="s">
        <v>36</v>
      </c>
      <c r="AD227" s="29">
        <v>53949.26</v>
      </c>
      <c r="AE227" s="29" t="s">
        <v>26</v>
      </c>
      <c r="AF227" s="29">
        <v>43808</v>
      </c>
      <c r="AG227" s="29">
        <v>1</v>
      </c>
      <c r="AH227" s="29" t="s">
        <v>76</v>
      </c>
      <c r="AI227" s="29" t="s">
        <v>72</v>
      </c>
      <c r="AJ227" s="29">
        <v>4.536986301369863</v>
      </c>
      <c r="AK227" s="29" t="s">
        <v>20</v>
      </c>
    </row>
    <row r="228" spans="7:37" x14ac:dyDescent="0.25">
      <c r="G228" s="33"/>
      <c r="Z228" s="29" t="s">
        <v>426</v>
      </c>
      <c r="AA228" s="29" t="s">
        <v>427</v>
      </c>
      <c r="AB228" s="29" t="s">
        <v>24</v>
      </c>
      <c r="AC228" s="29" t="s">
        <v>58</v>
      </c>
      <c r="AD228" s="29">
        <v>96555.53</v>
      </c>
      <c r="AE228" s="29" t="s">
        <v>26</v>
      </c>
      <c r="AF228" s="29">
        <v>43489</v>
      </c>
      <c r="AG228" s="29">
        <v>0.2</v>
      </c>
      <c r="AH228" s="29" t="s">
        <v>76</v>
      </c>
      <c r="AI228" s="29" t="s">
        <v>41</v>
      </c>
      <c r="AJ228" s="29">
        <v>5.4109589041095889</v>
      </c>
      <c r="AK228" s="29" t="s">
        <v>28</v>
      </c>
    </row>
    <row r="229" spans="7:37" x14ac:dyDescent="0.25">
      <c r="G229" s="33"/>
      <c r="Z229" s="29" t="s">
        <v>316</v>
      </c>
      <c r="AA229" s="29" t="s">
        <v>317</v>
      </c>
      <c r="AB229" s="29" t="s">
        <v>24</v>
      </c>
      <c r="AC229" s="29" t="s">
        <v>101</v>
      </c>
      <c r="AD229" s="29">
        <v>71823.56</v>
      </c>
      <c r="AE229" s="29" t="s">
        <v>26</v>
      </c>
      <c r="AF229" s="29">
        <v>43374</v>
      </c>
      <c r="AG229" s="29">
        <v>0.3</v>
      </c>
      <c r="AH229" s="29" t="s">
        <v>76</v>
      </c>
      <c r="AI229" s="29" t="s">
        <v>19</v>
      </c>
      <c r="AJ229" s="29">
        <v>5.7260273972602738</v>
      </c>
      <c r="AK229" s="29" t="s">
        <v>28</v>
      </c>
    </row>
    <row r="230" spans="7:37" x14ac:dyDescent="0.25">
      <c r="G230" s="33"/>
      <c r="Z230" s="29" t="s">
        <v>316</v>
      </c>
      <c r="AA230" s="29" t="s">
        <v>317</v>
      </c>
      <c r="AB230" s="29" t="s">
        <v>24</v>
      </c>
      <c r="AC230" s="29" t="s">
        <v>101</v>
      </c>
      <c r="AD230" s="29">
        <v>71823.56</v>
      </c>
      <c r="AE230" s="29" t="s">
        <v>26</v>
      </c>
      <c r="AF230" s="29">
        <v>43374</v>
      </c>
      <c r="AG230" s="29">
        <v>0.3</v>
      </c>
      <c r="AH230" s="29" t="s">
        <v>76</v>
      </c>
      <c r="AI230" s="29" t="s">
        <v>19</v>
      </c>
      <c r="AJ230" s="29">
        <v>5.7260273972602738</v>
      </c>
      <c r="AK230" s="29" t="s">
        <v>28</v>
      </c>
    </row>
    <row r="231" spans="7:37" x14ac:dyDescent="0.25">
      <c r="G231" s="33"/>
      <c r="Z231" s="29" t="s">
        <v>74</v>
      </c>
      <c r="AA231" s="29" t="s">
        <v>75</v>
      </c>
      <c r="AB231" s="29" t="s">
        <v>15</v>
      </c>
      <c r="AC231" s="29" t="s">
        <v>50</v>
      </c>
      <c r="AD231" s="29">
        <v>61214.26</v>
      </c>
      <c r="AE231" s="29" t="s">
        <v>26</v>
      </c>
      <c r="AF231" s="29">
        <v>43171</v>
      </c>
      <c r="AG231" s="29">
        <v>1</v>
      </c>
      <c r="AH231" s="29" t="s">
        <v>76</v>
      </c>
      <c r="AI231" s="29" t="s">
        <v>77</v>
      </c>
      <c r="AJ231" s="29">
        <v>6.2821917808219174</v>
      </c>
      <c r="AK231" s="29" t="s">
        <v>20</v>
      </c>
    </row>
    <row r="232" spans="7:37" x14ac:dyDescent="0.25">
      <c r="G232" s="33"/>
      <c r="Z232" s="29" t="s">
        <v>256</v>
      </c>
      <c r="AA232" s="29" t="s">
        <v>257</v>
      </c>
      <c r="AB232" s="29" t="s">
        <v>15</v>
      </c>
      <c r="AC232" s="29" t="s">
        <v>16</v>
      </c>
      <c r="AD232" s="29">
        <v>114465.93</v>
      </c>
      <c r="AE232" s="29" t="s">
        <v>17</v>
      </c>
      <c r="AF232" s="29">
        <v>43291</v>
      </c>
      <c r="AG232" s="29">
        <v>1</v>
      </c>
      <c r="AH232" s="29" t="s">
        <v>76</v>
      </c>
      <c r="AI232" s="29" t="s">
        <v>45</v>
      </c>
      <c r="AJ232" s="29">
        <v>5.9534246575342467</v>
      </c>
      <c r="AK232" s="29" t="s">
        <v>20</v>
      </c>
    </row>
    <row r="233" spans="7:37" x14ac:dyDescent="0.25">
      <c r="G233" s="33"/>
      <c r="Z233" s="29" t="s">
        <v>443</v>
      </c>
      <c r="AA233" s="29" t="s">
        <v>444</v>
      </c>
      <c r="AB233" s="29" t="s">
        <v>24</v>
      </c>
      <c r="AC233" s="29" t="s">
        <v>131</v>
      </c>
      <c r="AD233" s="29">
        <v>32496.880000000001</v>
      </c>
      <c r="AE233" s="29" t="s">
        <v>65</v>
      </c>
      <c r="AF233" s="29">
        <v>43234</v>
      </c>
      <c r="AG233" s="29">
        <v>1</v>
      </c>
      <c r="AH233" s="29" t="s">
        <v>76</v>
      </c>
      <c r="AI233" s="29" t="s">
        <v>19</v>
      </c>
      <c r="AJ233" s="29">
        <v>6.1095890410958908</v>
      </c>
      <c r="AK233" s="29" t="s">
        <v>20</v>
      </c>
    </row>
    <row r="234" spans="7:37" x14ac:dyDescent="0.25">
      <c r="G234" s="33"/>
      <c r="Z234" s="29" t="s">
        <v>86</v>
      </c>
      <c r="AA234" s="29" t="s">
        <v>87</v>
      </c>
      <c r="AB234" s="29" t="s">
        <v>15</v>
      </c>
      <c r="AC234" s="29" t="s">
        <v>16</v>
      </c>
      <c r="AD234" s="29">
        <v>39969.72</v>
      </c>
      <c r="AE234" s="29" t="s">
        <v>65</v>
      </c>
      <c r="AF234" s="29">
        <v>43444</v>
      </c>
      <c r="AG234" s="29">
        <v>1</v>
      </c>
      <c r="AH234" s="29" t="s">
        <v>76</v>
      </c>
      <c r="AI234" s="29" t="s">
        <v>72</v>
      </c>
      <c r="AJ234" s="29">
        <v>5.5342465753424657</v>
      </c>
      <c r="AK234" s="29" t="s">
        <v>20</v>
      </c>
    </row>
    <row r="235" spans="7:37" x14ac:dyDescent="0.25">
      <c r="G235" s="33"/>
      <c r="Z235" s="29" t="s">
        <v>271</v>
      </c>
      <c r="AA235" s="29" t="s">
        <v>272</v>
      </c>
      <c r="AB235" s="29" t="s">
        <v>15</v>
      </c>
      <c r="AC235" s="29" t="s">
        <v>131</v>
      </c>
      <c r="AD235" s="29">
        <v>28481.16</v>
      </c>
      <c r="AE235" s="29" t="s">
        <v>65</v>
      </c>
      <c r="AF235" s="29">
        <v>44228</v>
      </c>
      <c r="AG235" s="29">
        <v>1</v>
      </c>
      <c r="AH235" s="29" t="s">
        <v>76</v>
      </c>
      <c r="AI235" s="29" t="s">
        <v>84</v>
      </c>
      <c r="AJ235" s="29">
        <v>3.3863013698630136</v>
      </c>
      <c r="AK235" s="29" t="s">
        <v>20</v>
      </c>
    </row>
    <row r="236" spans="7:37" x14ac:dyDescent="0.25">
      <c r="G236" s="33"/>
      <c r="Z236" s="29" t="s">
        <v>160</v>
      </c>
      <c r="AA236" s="29" t="s">
        <v>161</v>
      </c>
      <c r="AB236" s="29" t="s">
        <v>15</v>
      </c>
      <c r="AC236" s="29" t="s">
        <v>36</v>
      </c>
      <c r="AD236" s="29">
        <v>114691.03</v>
      </c>
      <c r="AE236" s="29" t="s">
        <v>17</v>
      </c>
      <c r="AF236" s="29">
        <v>44039</v>
      </c>
      <c r="AG236" s="29">
        <v>1</v>
      </c>
      <c r="AH236" s="29" t="s">
        <v>76</v>
      </c>
      <c r="AI236" s="29" t="s">
        <v>45</v>
      </c>
      <c r="AJ236" s="29">
        <v>3.904109589041096</v>
      </c>
      <c r="AK236" s="29" t="s">
        <v>20</v>
      </c>
    </row>
    <row r="237" spans="7:37" x14ac:dyDescent="0.25">
      <c r="G237" s="33"/>
      <c r="Z237" s="29" t="s">
        <v>585</v>
      </c>
      <c r="AA237" s="29" t="s">
        <v>586</v>
      </c>
      <c r="AB237" s="29" t="s">
        <v>15</v>
      </c>
      <c r="AC237" s="29" t="s">
        <v>16</v>
      </c>
      <c r="AD237" s="29">
        <v>82239.53</v>
      </c>
      <c r="AE237" s="29" t="s">
        <v>26</v>
      </c>
      <c r="AF237" s="29">
        <v>43846</v>
      </c>
      <c r="AG237" s="29">
        <v>1</v>
      </c>
      <c r="AH237" s="29" t="s">
        <v>76</v>
      </c>
      <c r="AI237" s="29" t="s">
        <v>72</v>
      </c>
      <c r="AJ237" s="29">
        <v>4.4328767123287669</v>
      </c>
      <c r="AK237" s="29" t="s">
        <v>20</v>
      </c>
    </row>
    <row r="238" spans="7:37" x14ac:dyDescent="0.25">
      <c r="G238" s="33"/>
      <c r="Z238" s="29" t="s">
        <v>262</v>
      </c>
      <c r="AA238" s="29" t="s">
        <v>263</v>
      </c>
      <c r="AB238" s="29" t="s">
        <v>15</v>
      </c>
      <c r="AC238" s="29" t="s">
        <v>105</v>
      </c>
      <c r="AD238" s="29">
        <v>83191.95</v>
      </c>
      <c r="AE238" s="29" t="s">
        <v>26</v>
      </c>
      <c r="AF238" s="29">
        <v>43700</v>
      </c>
      <c r="AG238" s="29">
        <v>0.6</v>
      </c>
      <c r="AH238" s="29" t="s">
        <v>76</v>
      </c>
      <c r="AI238" s="29" t="s">
        <v>19</v>
      </c>
      <c r="AJ238" s="29">
        <v>4.8328767123287673</v>
      </c>
      <c r="AK238" s="29" t="s">
        <v>28</v>
      </c>
    </row>
    <row r="239" spans="7:37" x14ac:dyDescent="0.25">
      <c r="G239" s="33"/>
      <c r="Z239" s="29" t="s">
        <v>244</v>
      </c>
      <c r="AA239" s="29" t="s">
        <v>245</v>
      </c>
      <c r="AB239" s="29" t="s">
        <v>15</v>
      </c>
      <c r="AC239" s="29" t="s">
        <v>131</v>
      </c>
      <c r="AD239" s="29">
        <v>113747.56</v>
      </c>
      <c r="AE239" s="29" t="s">
        <v>17</v>
      </c>
      <c r="AF239" s="29">
        <v>44270</v>
      </c>
      <c r="AG239" s="29">
        <v>0.7</v>
      </c>
      <c r="AH239" s="29" t="s">
        <v>76</v>
      </c>
      <c r="AI239" s="29" t="s">
        <v>72</v>
      </c>
      <c r="AJ239" s="29">
        <v>3.2712328767123289</v>
      </c>
      <c r="AK239" s="29" t="s">
        <v>28</v>
      </c>
    </row>
    <row r="240" spans="7:37" x14ac:dyDescent="0.25">
      <c r="G240" s="33"/>
      <c r="Z240" s="29" t="s">
        <v>244</v>
      </c>
      <c r="AA240" s="29" t="s">
        <v>245</v>
      </c>
      <c r="AB240" s="29" t="s">
        <v>15</v>
      </c>
      <c r="AC240" s="29" t="s">
        <v>131</v>
      </c>
      <c r="AD240" s="29">
        <v>113747.56</v>
      </c>
      <c r="AE240" s="29" t="s">
        <v>17</v>
      </c>
      <c r="AF240" s="29">
        <v>44270</v>
      </c>
      <c r="AG240" s="29">
        <v>0.7</v>
      </c>
      <c r="AH240" s="29" t="s">
        <v>76</v>
      </c>
      <c r="AI240" s="29" t="s">
        <v>72</v>
      </c>
      <c r="AJ240" s="29">
        <v>3.2712328767123289</v>
      </c>
      <c r="AK240" s="29" t="s">
        <v>28</v>
      </c>
    </row>
    <row r="241" spans="7:37" x14ac:dyDescent="0.25">
      <c r="G241" s="33"/>
      <c r="Z241" s="29" t="s">
        <v>355</v>
      </c>
      <c r="AA241" s="29" t="s">
        <v>356</v>
      </c>
      <c r="AB241" s="29" t="s">
        <v>15</v>
      </c>
      <c r="AC241" s="29" t="s">
        <v>50</v>
      </c>
      <c r="AD241" s="29">
        <v>37062.1</v>
      </c>
      <c r="AE241" s="29" t="s">
        <v>65</v>
      </c>
      <c r="AF241" s="29">
        <v>44357</v>
      </c>
      <c r="AG241" s="29">
        <v>1</v>
      </c>
      <c r="AH241" s="29" t="s">
        <v>76</v>
      </c>
      <c r="AI241" s="29" t="s">
        <v>84</v>
      </c>
      <c r="AJ241" s="29">
        <v>3.032876712328767</v>
      </c>
      <c r="AK241" s="29" t="s">
        <v>20</v>
      </c>
    </row>
    <row r="242" spans="7:37" x14ac:dyDescent="0.25">
      <c r="G242" s="33"/>
      <c r="Z242" s="29" t="s">
        <v>139</v>
      </c>
      <c r="AA242" s="29" t="s">
        <v>140</v>
      </c>
      <c r="AB242" s="29" t="s">
        <v>15</v>
      </c>
      <c r="AC242" s="29" t="s">
        <v>25</v>
      </c>
      <c r="AD242" s="29">
        <v>73360.38</v>
      </c>
      <c r="AE242" s="29" t="s">
        <v>26</v>
      </c>
      <c r="AF242" s="29">
        <v>43972</v>
      </c>
      <c r="AG242" s="29">
        <v>1</v>
      </c>
      <c r="AH242" s="29" t="s">
        <v>76</v>
      </c>
      <c r="AI242" s="29" t="s">
        <v>19</v>
      </c>
      <c r="AJ242" s="29">
        <v>4.087671232876712</v>
      </c>
      <c r="AK242" s="29" t="s">
        <v>20</v>
      </c>
    </row>
    <row r="243" spans="7:37" x14ac:dyDescent="0.25">
      <c r="G243" s="33"/>
      <c r="Z243" s="29" t="s">
        <v>139</v>
      </c>
      <c r="AA243" s="29" t="s">
        <v>140</v>
      </c>
      <c r="AB243" s="29" t="s">
        <v>15</v>
      </c>
      <c r="AC243" s="29" t="s">
        <v>25</v>
      </c>
      <c r="AD243" s="29">
        <v>73360.38</v>
      </c>
      <c r="AE243" s="29" t="s">
        <v>26</v>
      </c>
      <c r="AF243" s="29">
        <v>43972</v>
      </c>
      <c r="AG243" s="29">
        <v>1</v>
      </c>
      <c r="AH243" s="29" t="s">
        <v>76</v>
      </c>
      <c r="AI243" s="29" t="s">
        <v>19</v>
      </c>
      <c r="AJ243" s="29">
        <v>4.087671232876712</v>
      </c>
      <c r="AK243" s="29" t="s">
        <v>20</v>
      </c>
    </row>
    <row r="244" spans="7:37" x14ac:dyDescent="0.25">
      <c r="G244" s="33"/>
      <c r="Z244" s="29" t="s">
        <v>482</v>
      </c>
      <c r="AA244" s="29" t="s">
        <v>483</v>
      </c>
      <c r="AB244" s="29" t="s">
        <v>15</v>
      </c>
      <c r="AC244" s="29" t="s">
        <v>16</v>
      </c>
      <c r="AD244" s="29">
        <v>36536.26</v>
      </c>
      <c r="AE244" s="29" t="s">
        <v>65</v>
      </c>
      <c r="AF244" s="29">
        <v>44358</v>
      </c>
      <c r="AG244" s="29">
        <v>1</v>
      </c>
      <c r="AH244" s="29" t="s">
        <v>76</v>
      </c>
      <c r="AI244" s="29" t="s">
        <v>41</v>
      </c>
      <c r="AJ244" s="29">
        <v>3.0301369863013701</v>
      </c>
      <c r="AK244" s="29" t="s">
        <v>20</v>
      </c>
    </row>
    <row r="245" spans="7:37" x14ac:dyDescent="0.25">
      <c r="G245" s="33"/>
      <c r="Z245" s="29" t="s">
        <v>381</v>
      </c>
      <c r="AA245" s="29" t="s">
        <v>382</v>
      </c>
      <c r="AB245" s="29" t="s">
        <v>24</v>
      </c>
      <c r="AC245" s="29" t="s">
        <v>124</v>
      </c>
      <c r="AD245" s="29">
        <v>89829.33</v>
      </c>
      <c r="AE245" s="29" t="s">
        <v>26</v>
      </c>
      <c r="AF245" s="29">
        <v>43794</v>
      </c>
      <c r="AG245" s="29">
        <v>1</v>
      </c>
      <c r="AH245" s="29" t="s">
        <v>76</v>
      </c>
      <c r="AI245" s="29" t="s">
        <v>84</v>
      </c>
      <c r="AJ245" s="29">
        <v>4.5753424657534243</v>
      </c>
      <c r="AK245" s="29" t="s">
        <v>20</v>
      </c>
    </row>
    <row r="246" spans="7:37" x14ac:dyDescent="0.25">
      <c r="G246" s="33"/>
      <c r="Z246" s="29" t="s">
        <v>455</v>
      </c>
      <c r="AA246" s="29" t="s">
        <v>456</v>
      </c>
      <c r="AB246" s="29" t="s">
        <v>49</v>
      </c>
      <c r="AC246" s="29" t="s">
        <v>131</v>
      </c>
      <c r="AD246" s="29">
        <v>63447.07</v>
      </c>
      <c r="AE246" s="29" t="s">
        <v>26</v>
      </c>
      <c r="AF246" s="29">
        <v>44148</v>
      </c>
      <c r="AG246" s="29">
        <v>1</v>
      </c>
      <c r="AH246" s="29" t="s">
        <v>76</v>
      </c>
      <c r="AI246" s="29" t="s">
        <v>45</v>
      </c>
      <c r="AJ246" s="29">
        <v>3.6054794520547944</v>
      </c>
      <c r="AK246" s="29" t="s">
        <v>20</v>
      </c>
    </row>
    <row r="247" spans="7:37" x14ac:dyDescent="0.25">
      <c r="G247" s="33"/>
      <c r="Z247" s="29" t="s">
        <v>702</v>
      </c>
      <c r="AA247" s="29" t="s">
        <v>703</v>
      </c>
      <c r="AB247" s="29" t="s">
        <v>15</v>
      </c>
      <c r="AC247" s="29" t="s">
        <v>105</v>
      </c>
      <c r="AD247" s="29">
        <v>80772.92</v>
      </c>
      <c r="AE247" s="29" t="s">
        <v>26</v>
      </c>
      <c r="AF247" s="29">
        <v>44137</v>
      </c>
      <c r="AG247" s="29">
        <v>1</v>
      </c>
      <c r="AH247" s="29" t="s">
        <v>76</v>
      </c>
      <c r="AI247" s="29" t="s">
        <v>19</v>
      </c>
      <c r="AJ247" s="29">
        <v>3.6356164383561644</v>
      </c>
      <c r="AK247" s="29" t="s">
        <v>20</v>
      </c>
    </row>
    <row r="248" spans="7:37" x14ac:dyDescent="0.25">
      <c r="G248" s="33"/>
      <c r="Z248" s="29" t="s">
        <v>126</v>
      </c>
      <c r="AA248" s="29" t="s">
        <v>127</v>
      </c>
      <c r="AB248" s="29" t="s">
        <v>15</v>
      </c>
      <c r="AC248" s="29" t="s">
        <v>101</v>
      </c>
      <c r="AD248" s="29">
        <v>52246.29</v>
      </c>
      <c r="AE248" s="29" t="s">
        <v>26</v>
      </c>
      <c r="AF248" s="29">
        <v>43573</v>
      </c>
      <c r="AG248" s="29">
        <v>1</v>
      </c>
      <c r="AH248" s="29" t="s">
        <v>76</v>
      </c>
      <c r="AI248" s="29" t="s">
        <v>45</v>
      </c>
      <c r="AJ248" s="29">
        <v>5.1808219178082195</v>
      </c>
      <c r="AK248" s="29" t="s">
        <v>20</v>
      </c>
    </row>
    <row r="249" spans="7:37" x14ac:dyDescent="0.25">
      <c r="G249" s="33"/>
      <c r="Z249" s="29" t="s">
        <v>172</v>
      </c>
      <c r="AA249" s="29" t="s">
        <v>173</v>
      </c>
      <c r="AB249" s="29" t="s">
        <v>24</v>
      </c>
      <c r="AC249" s="29" t="s">
        <v>50</v>
      </c>
      <c r="AD249" s="29">
        <v>58935.92</v>
      </c>
      <c r="AE249" s="29" t="s">
        <v>26</v>
      </c>
      <c r="AF249" s="29">
        <v>43717</v>
      </c>
      <c r="AG249" s="29">
        <v>1</v>
      </c>
      <c r="AH249" s="29" t="s">
        <v>76</v>
      </c>
      <c r="AI249" s="29" t="s">
        <v>41</v>
      </c>
      <c r="AJ249" s="29">
        <v>4.7863013698630139</v>
      </c>
      <c r="AK249" s="29" t="s">
        <v>20</v>
      </c>
    </row>
    <row r="250" spans="7:37" x14ac:dyDescent="0.25">
      <c r="G250" s="33"/>
      <c r="Z250" s="29" t="s">
        <v>268</v>
      </c>
      <c r="AA250" s="29" t="s">
        <v>269</v>
      </c>
      <c r="AB250" s="29" t="s">
        <v>15</v>
      </c>
      <c r="AC250" s="29" t="s">
        <v>97</v>
      </c>
      <c r="AD250" s="29">
        <v>83396.5</v>
      </c>
      <c r="AE250" s="29" t="s">
        <v>26</v>
      </c>
      <c r="AF250" s="29">
        <v>44285</v>
      </c>
      <c r="AG250" s="29">
        <v>1</v>
      </c>
      <c r="AH250" s="29" t="s">
        <v>76</v>
      </c>
      <c r="AI250" s="29" t="s">
        <v>77</v>
      </c>
      <c r="AJ250" s="29">
        <v>3.2301369863013698</v>
      </c>
      <c r="AK250" s="29" t="s">
        <v>20</v>
      </c>
    </row>
    <row r="251" spans="7:37" x14ac:dyDescent="0.25">
      <c r="G251" s="33"/>
      <c r="Z251" s="29" t="s">
        <v>375</v>
      </c>
      <c r="AA251" s="29" t="s">
        <v>376</v>
      </c>
      <c r="AB251" s="29" t="s">
        <v>15</v>
      </c>
      <c r="AC251" s="29" t="s">
        <v>32</v>
      </c>
      <c r="AD251" s="29">
        <v>111815.49</v>
      </c>
      <c r="AE251" s="29" t="s">
        <v>17</v>
      </c>
      <c r="AF251" s="29">
        <v>43895</v>
      </c>
      <c r="AG251" s="29">
        <v>0.7</v>
      </c>
      <c r="AH251" s="29" t="s">
        <v>76</v>
      </c>
      <c r="AI251" s="29" t="s">
        <v>19</v>
      </c>
      <c r="AJ251" s="29">
        <v>4.2986301369863016</v>
      </c>
      <c r="AK251" s="29" t="s">
        <v>28</v>
      </c>
    </row>
    <row r="252" spans="7:37" x14ac:dyDescent="0.25">
      <c r="G252" s="33"/>
      <c r="Z252" s="29" t="s">
        <v>375</v>
      </c>
      <c r="AA252" s="29" t="s">
        <v>376</v>
      </c>
      <c r="AB252" s="29" t="s">
        <v>15</v>
      </c>
      <c r="AC252" s="29" t="s">
        <v>32</v>
      </c>
      <c r="AD252" s="29">
        <v>111815.49</v>
      </c>
      <c r="AE252" s="29" t="s">
        <v>17</v>
      </c>
      <c r="AF252" s="29">
        <v>43895</v>
      </c>
      <c r="AG252" s="29">
        <v>0.7</v>
      </c>
      <c r="AH252" s="29" t="s">
        <v>76</v>
      </c>
      <c r="AI252" s="29" t="s">
        <v>19</v>
      </c>
      <c r="AJ252" s="29">
        <v>4.2986301369863016</v>
      </c>
      <c r="AK252" s="29" t="s">
        <v>28</v>
      </c>
    </row>
    <row r="253" spans="7:37" x14ac:dyDescent="0.25">
      <c r="G253" s="33"/>
      <c r="Z253" s="29" t="s">
        <v>202</v>
      </c>
      <c r="AA253" s="29" t="s">
        <v>203</v>
      </c>
      <c r="AB253" s="29" t="s">
        <v>24</v>
      </c>
      <c r="AC253" s="29" t="s">
        <v>36</v>
      </c>
      <c r="AD253" s="29">
        <v>116767.63</v>
      </c>
      <c r="AE253" s="29" t="s">
        <v>17</v>
      </c>
      <c r="AF253" s="29">
        <v>43949</v>
      </c>
      <c r="AG253" s="29">
        <v>0.4</v>
      </c>
      <c r="AH253" s="29" t="s">
        <v>76</v>
      </c>
      <c r="AI253" s="29" t="s">
        <v>84</v>
      </c>
      <c r="AJ253" s="29">
        <v>4.1506849315068495</v>
      </c>
      <c r="AK253" s="29" t="s">
        <v>28</v>
      </c>
    </row>
    <row r="254" spans="7:37" x14ac:dyDescent="0.25">
      <c r="G254" s="33"/>
      <c r="Z254" s="29" t="s">
        <v>619</v>
      </c>
      <c r="AA254" s="29" t="s">
        <v>620</v>
      </c>
      <c r="AB254" s="29" t="s">
        <v>24</v>
      </c>
      <c r="AC254" s="29" t="s">
        <v>36</v>
      </c>
      <c r="AD254" s="29">
        <v>116767.63</v>
      </c>
      <c r="AE254" s="29" t="s">
        <v>17</v>
      </c>
      <c r="AF254" s="29">
        <v>43949</v>
      </c>
      <c r="AG254" s="29">
        <v>0.4</v>
      </c>
      <c r="AH254" s="29" t="s">
        <v>76</v>
      </c>
      <c r="AI254" s="29" t="s">
        <v>84</v>
      </c>
      <c r="AJ254" s="29">
        <v>4.1506849315068495</v>
      </c>
      <c r="AK254" s="29" t="s">
        <v>28</v>
      </c>
    </row>
    <row r="255" spans="7:37" x14ac:dyDescent="0.25">
      <c r="G255" s="33"/>
      <c r="Z255" s="29" t="s">
        <v>113</v>
      </c>
      <c r="AA255" s="29" t="s">
        <v>114</v>
      </c>
      <c r="AB255" s="29" t="s">
        <v>49</v>
      </c>
      <c r="AC255" s="29" t="s">
        <v>36</v>
      </c>
      <c r="AD255" s="29">
        <v>78840.23</v>
      </c>
      <c r="AE255" s="29" t="s">
        <v>26</v>
      </c>
      <c r="AF255" s="29">
        <v>43633</v>
      </c>
      <c r="AG255" s="29">
        <v>1</v>
      </c>
      <c r="AH255" s="29" t="s">
        <v>76</v>
      </c>
      <c r="AI255" s="29" t="s">
        <v>19</v>
      </c>
      <c r="AJ255" s="29">
        <v>5.0164383561643833</v>
      </c>
      <c r="AK255" s="29" t="s">
        <v>20</v>
      </c>
    </row>
    <row r="256" spans="7:37" x14ac:dyDescent="0.25">
      <c r="G256" s="33"/>
      <c r="Z256" s="29" t="s">
        <v>603</v>
      </c>
      <c r="AA256" s="29" t="s">
        <v>604</v>
      </c>
      <c r="AB256" s="29" t="s">
        <v>15</v>
      </c>
      <c r="AC256" s="29" t="s">
        <v>101</v>
      </c>
      <c r="AD256" s="29">
        <v>38825.18</v>
      </c>
      <c r="AE256" s="29" t="s">
        <v>65</v>
      </c>
      <c r="AF256" s="29">
        <v>43696</v>
      </c>
      <c r="AG256" s="29">
        <v>1</v>
      </c>
      <c r="AH256" s="29" t="s">
        <v>76</v>
      </c>
      <c r="AI256" s="29" t="s">
        <v>19</v>
      </c>
      <c r="AJ256" s="29">
        <v>4.8438356164383558</v>
      </c>
      <c r="AK256" s="29" t="s">
        <v>20</v>
      </c>
    </row>
    <row r="257" spans="7:37" x14ac:dyDescent="0.25">
      <c r="G257" s="33"/>
      <c r="Z257" s="29" t="s">
        <v>652</v>
      </c>
      <c r="AA257" s="29" t="s">
        <v>653</v>
      </c>
      <c r="AB257" s="29" t="s">
        <v>15</v>
      </c>
      <c r="AC257" s="29" t="s">
        <v>25</v>
      </c>
      <c r="AD257" s="29">
        <v>106400.02</v>
      </c>
      <c r="AE257" s="29" t="s">
        <v>17</v>
      </c>
      <c r="AF257" s="29">
        <v>44021</v>
      </c>
      <c r="AG257" s="29">
        <v>1</v>
      </c>
      <c r="AH257" s="29" t="s">
        <v>76</v>
      </c>
      <c r="AI257" s="29" t="s">
        <v>84</v>
      </c>
      <c r="AJ257" s="29">
        <v>3.9534246575342467</v>
      </c>
      <c r="AK257" s="29" t="s">
        <v>20</v>
      </c>
    </row>
    <row r="258" spans="7:37" x14ac:dyDescent="0.25">
      <c r="G258" s="33"/>
      <c r="Z258" s="29" t="s">
        <v>675</v>
      </c>
      <c r="AA258" s="29" t="s">
        <v>676</v>
      </c>
      <c r="AB258" s="29" t="s">
        <v>15</v>
      </c>
      <c r="AC258" s="29" t="s">
        <v>25</v>
      </c>
      <c r="AD258" s="29">
        <v>106400.02</v>
      </c>
      <c r="AE258" s="29" t="s">
        <v>17</v>
      </c>
      <c r="AF258" s="29">
        <v>44021</v>
      </c>
      <c r="AG258" s="29">
        <v>1</v>
      </c>
      <c r="AH258" s="29" t="s">
        <v>76</v>
      </c>
      <c r="AI258" s="29" t="s">
        <v>84</v>
      </c>
      <c r="AJ258" s="29">
        <v>3.9534246575342467</v>
      </c>
      <c r="AK258" s="29" t="s">
        <v>20</v>
      </c>
    </row>
    <row r="259" spans="7:37" x14ac:dyDescent="0.25">
      <c r="G259" s="33"/>
      <c r="Z259" s="29" t="s">
        <v>523</v>
      </c>
      <c r="AA259" s="29" t="s">
        <v>524</v>
      </c>
      <c r="AB259" s="29" t="s">
        <v>15</v>
      </c>
      <c r="AC259" s="29" t="s">
        <v>58</v>
      </c>
      <c r="AD259" s="29">
        <v>28160.79</v>
      </c>
      <c r="AE259" s="29" t="s">
        <v>65</v>
      </c>
      <c r="AF259" s="29">
        <v>43129</v>
      </c>
      <c r="AG259" s="29">
        <v>1</v>
      </c>
      <c r="AH259" s="29" t="s">
        <v>76</v>
      </c>
      <c r="AI259" s="29" t="s">
        <v>19</v>
      </c>
      <c r="AJ259" s="29">
        <v>6.397260273972603</v>
      </c>
      <c r="AK259" s="29" t="s">
        <v>20</v>
      </c>
    </row>
    <row r="260" spans="7:37" x14ac:dyDescent="0.25">
      <c r="G260" s="33"/>
      <c r="Z260" s="29" t="s">
        <v>537</v>
      </c>
      <c r="AA260" s="29" t="s">
        <v>538</v>
      </c>
      <c r="AB260" s="29" t="s">
        <v>24</v>
      </c>
      <c r="AC260" s="29" t="s">
        <v>36</v>
      </c>
      <c r="AD260" s="29">
        <v>58744.17</v>
      </c>
      <c r="AE260" s="29" t="s">
        <v>26</v>
      </c>
      <c r="AF260" s="29">
        <v>43171</v>
      </c>
      <c r="AG260" s="29">
        <v>1</v>
      </c>
      <c r="AH260" s="29" t="s">
        <v>76</v>
      </c>
      <c r="AI260" s="29" t="s">
        <v>72</v>
      </c>
      <c r="AJ260" s="29">
        <v>6.2821917808219174</v>
      </c>
      <c r="AK260" s="29" t="s">
        <v>20</v>
      </c>
    </row>
    <row r="261" spans="7:37" x14ac:dyDescent="0.25">
      <c r="G261" s="33"/>
      <c r="Z261" s="29" t="s">
        <v>529</v>
      </c>
      <c r="AA261" s="29" t="s">
        <v>530</v>
      </c>
      <c r="AB261" s="29" t="s">
        <v>24</v>
      </c>
      <c r="AC261" s="29" t="s">
        <v>54</v>
      </c>
      <c r="AD261" s="29">
        <v>70755.5</v>
      </c>
      <c r="AE261" s="29" t="s">
        <v>26</v>
      </c>
      <c r="AF261" s="29">
        <v>44090</v>
      </c>
      <c r="AG261" s="29">
        <v>0.8</v>
      </c>
      <c r="AH261" s="29" t="s">
        <v>76</v>
      </c>
      <c r="AI261" s="29" t="s">
        <v>41</v>
      </c>
      <c r="AJ261" s="29">
        <v>3.7643835616438355</v>
      </c>
      <c r="AK261" s="29" t="s">
        <v>28</v>
      </c>
    </row>
    <row r="262" spans="7:37" x14ac:dyDescent="0.25">
      <c r="G262" s="33"/>
      <c r="Z262" s="29" t="s">
        <v>458</v>
      </c>
      <c r="AA262" s="29" t="s">
        <v>459</v>
      </c>
      <c r="AB262" s="29" t="s">
        <v>24</v>
      </c>
      <c r="AC262" s="29" t="s">
        <v>124</v>
      </c>
      <c r="AD262" s="29">
        <v>106665.67</v>
      </c>
      <c r="AE262" s="29" t="s">
        <v>17</v>
      </c>
      <c r="AF262" s="29">
        <v>43311</v>
      </c>
      <c r="AG262" s="29">
        <v>1</v>
      </c>
      <c r="AH262" s="29" t="s">
        <v>76</v>
      </c>
      <c r="AI262" s="29" t="s">
        <v>72</v>
      </c>
      <c r="AJ262" s="29">
        <v>5.8986301369863012</v>
      </c>
      <c r="AK262" s="29" t="s">
        <v>20</v>
      </c>
    </row>
    <row r="263" spans="7:37" x14ac:dyDescent="0.25">
      <c r="G263" s="33"/>
      <c r="Z263" s="29" t="s">
        <v>136</v>
      </c>
      <c r="AA263" s="29" t="s">
        <v>137</v>
      </c>
      <c r="AB263" s="29" t="s">
        <v>15</v>
      </c>
      <c r="AC263" s="29" t="s">
        <v>97</v>
      </c>
      <c r="AD263" s="29">
        <v>76320.44</v>
      </c>
      <c r="AE263" s="29" t="s">
        <v>26</v>
      </c>
      <c r="AF263" s="29">
        <v>44383</v>
      </c>
      <c r="AG263" s="29">
        <v>0.8</v>
      </c>
      <c r="AH263" s="29" t="s">
        <v>76</v>
      </c>
      <c r="AI263" s="29" t="s">
        <v>19</v>
      </c>
      <c r="AJ263" s="29">
        <v>2.9616438356164383</v>
      </c>
      <c r="AK263" s="29" t="s">
        <v>28</v>
      </c>
    </row>
    <row r="264" spans="7:37" x14ac:dyDescent="0.25">
      <c r="G264" s="33"/>
      <c r="Z264" s="29" t="s">
        <v>151</v>
      </c>
      <c r="AA264" s="29" t="s">
        <v>152</v>
      </c>
      <c r="AB264" s="29" t="s">
        <v>24</v>
      </c>
      <c r="AC264" s="29" t="s">
        <v>124</v>
      </c>
      <c r="AD264" s="29">
        <v>110906.35</v>
      </c>
      <c r="AE264" s="29" t="s">
        <v>17</v>
      </c>
      <c r="AF264" s="29">
        <v>43434</v>
      </c>
      <c r="AG264" s="29">
        <v>1</v>
      </c>
      <c r="AH264" s="29" t="s">
        <v>76</v>
      </c>
      <c r="AI264" s="29" t="s">
        <v>45</v>
      </c>
      <c r="AJ264" s="29">
        <v>5.5616438356164384</v>
      </c>
      <c r="AK264" s="29" t="s">
        <v>20</v>
      </c>
    </row>
    <row r="265" spans="7:37" x14ac:dyDescent="0.25">
      <c r="G265" s="33"/>
      <c r="Z265" s="29" t="s">
        <v>726</v>
      </c>
      <c r="AA265" s="29" t="s">
        <v>727</v>
      </c>
      <c r="AB265" s="29" t="s">
        <v>24</v>
      </c>
      <c r="AC265" s="29" t="s">
        <v>97</v>
      </c>
      <c r="AD265" s="29">
        <v>29808.07</v>
      </c>
      <c r="AE265" s="29" t="s">
        <v>65</v>
      </c>
      <c r="AF265" s="29">
        <v>43291</v>
      </c>
      <c r="AG265" s="29">
        <v>0.3</v>
      </c>
      <c r="AH265" s="29" t="s">
        <v>76</v>
      </c>
      <c r="AI265" s="29" t="s">
        <v>41</v>
      </c>
      <c r="AJ265" s="29">
        <v>5.9534246575342467</v>
      </c>
      <c r="AK265" s="29" t="s">
        <v>28</v>
      </c>
    </row>
    <row r="266" spans="7:37" x14ac:dyDescent="0.25">
      <c r="G266" s="33"/>
      <c r="Z266" s="29" t="s">
        <v>307</v>
      </c>
      <c r="AA266" s="29" t="s">
        <v>308</v>
      </c>
      <c r="AB266" s="29" t="s">
        <v>15</v>
      </c>
      <c r="AC266" s="29" t="s">
        <v>16</v>
      </c>
      <c r="AD266" s="29">
        <v>47362.62</v>
      </c>
      <c r="AE266" s="29" t="s">
        <v>65</v>
      </c>
      <c r="AF266" s="29">
        <v>43973</v>
      </c>
      <c r="AG266" s="29">
        <v>1</v>
      </c>
      <c r="AH266" s="29" t="s">
        <v>76</v>
      </c>
      <c r="AI266" s="29" t="s">
        <v>19</v>
      </c>
      <c r="AJ266" s="29">
        <v>4.0849315068493155</v>
      </c>
      <c r="AK266" s="29" t="s">
        <v>20</v>
      </c>
    </row>
    <row r="267" spans="7:37" x14ac:dyDescent="0.25">
      <c r="G267" s="33"/>
    </row>
    <row r="268" spans="7:37" x14ac:dyDescent="0.25">
      <c r="G268" s="33"/>
    </row>
    <row r="269" spans="7:37" x14ac:dyDescent="0.25">
      <c r="G269" s="33"/>
    </row>
    <row r="270" spans="7:37" x14ac:dyDescent="0.25">
      <c r="G270" s="33"/>
    </row>
    <row r="271" spans="7:37" x14ac:dyDescent="0.25">
      <c r="G271" s="33"/>
    </row>
    <row r="272" spans="7:37" x14ac:dyDescent="0.25">
      <c r="G272" s="33"/>
    </row>
    <row r="273" spans="7:7" x14ac:dyDescent="0.25">
      <c r="G273" s="33"/>
    </row>
    <row r="274" spans="7:7" x14ac:dyDescent="0.25">
      <c r="G274" s="33"/>
    </row>
    <row r="275" spans="7:7" x14ac:dyDescent="0.25">
      <c r="G275" s="33"/>
    </row>
    <row r="276" spans="7:7" x14ac:dyDescent="0.25">
      <c r="G276" s="33"/>
    </row>
    <row r="277" spans="7:7" x14ac:dyDescent="0.25">
      <c r="G277" s="33"/>
    </row>
    <row r="278" spans="7:7" x14ac:dyDescent="0.25">
      <c r="G278" s="33"/>
    </row>
    <row r="279" spans="7:7" x14ac:dyDescent="0.25">
      <c r="G279" s="33"/>
    </row>
    <row r="280" spans="7:7" x14ac:dyDescent="0.25">
      <c r="G280" s="33"/>
    </row>
    <row r="281" spans="7:7" x14ac:dyDescent="0.25">
      <c r="G281" s="33"/>
    </row>
    <row r="282" spans="7:7" x14ac:dyDescent="0.25">
      <c r="G282" s="33"/>
    </row>
    <row r="283" spans="7:7" x14ac:dyDescent="0.25">
      <c r="G283" s="33"/>
    </row>
    <row r="284" spans="7:7" x14ac:dyDescent="0.25">
      <c r="G284" s="33"/>
    </row>
    <row r="285" spans="7:7" x14ac:dyDescent="0.25">
      <c r="G285" s="33"/>
    </row>
    <row r="286" spans="7:7" x14ac:dyDescent="0.25">
      <c r="G286" s="33"/>
    </row>
    <row r="287" spans="7:7" x14ac:dyDescent="0.25">
      <c r="G287" s="33"/>
    </row>
    <row r="288" spans="7:7" x14ac:dyDescent="0.25">
      <c r="G288" s="33"/>
    </row>
    <row r="289" spans="7:29" x14ac:dyDescent="0.25">
      <c r="G289" s="33"/>
    </row>
    <row r="290" spans="7:29" x14ac:dyDescent="0.25">
      <c r="G290" s="33"/>
    </row>
    <row r="291" spans="7:29" x14ac:dyDescent="0.25">
      <c r="G291" s="33"/>
    </row>
    <row r="292" spans="7:29" x14ac:dyDescent="0.25">
      <c r="G292" s="33"/>
    </row>
    <row r="293" spans="7:29" x14ac:dyDescent="0.25">
      <c r="G293" s="33"/>
    </row>
    <row r="294" spans="7:29" x14ac:dyDescent="0.25">
      <c r="G294" s="33"/>
    </row>
    <row r="295" spans="7:29" x14ac:dyDescent="0.25">
      <c r="G295" s="33"/>
    </row>
    <row r="296" spans="7:29" x14ac:dyDescent="0.25">
      <c r="G296" s="33"/>
    </row>
    <row r="297" spans="7:29" x14ac:dyDescent="0.25">
      <c r="G297" s="33"/>
    </row>
    <row r="298" spans="7:29" x14ac:dyDescent="0.25">
      <c r="G298" s="33"/>
    </row>
    <row r="299" spans="7:29" x14ac:dyDescent="0.25">
      <c r="G299" s="33"/>
    </row>
    <row r="300" spans="7:29" x14ac:dyDescent="0.25">
      <c r="G300" s="33"/>
    </row>
    <row r="301" spans="7:29" x14ac:dyDescent="0.25">
      <c r="G301" s="33"/>
    </row>
    <row r="302" spans="7:29" x14ac:dyDescent="0.25">
      <c r="G302" s="33"/>
    </row>
    <row r="303" spans="7:29" x14ac:dyDescent="0.25">
      <c r="G303" s="33"/>
    </row>
    <row r="304" spans="7:29" x14ac:dyDescent="0.25">
      <c r="G304" s="33"/>
      <c r="Q304" t="str" cm="1">
        <f t="array" ref="Q304:AC313">_xlfn.TAKE(_xlfn._xlws.SORT(B5:N52,7,-1),10)</f>
        <v>Emp ID</v>
      </c>
      <c r="R304" t="str">
        <v>First Name</v>
      </c>
      <c r="S304" t="str">
        <v>Last Name</v>
      </c>
      <c r="T304" t="str">
        <v>Gender</v>
      </c>
      <c r="U304" t="str">
        <v>Department</v>
      </c>
      <c r="V304" t="str">
        <v>Salary</v>
      </c>
      <c r="W304" t="str">
        <v>Salary Bucket</v>
      </c>
      <c r="X304" t="str">
        <v>Start Date</v>
      </c>
      <c r="Y304" t="str">
        <v>FTE</v>
      </c>
      <c r="Z304" t="str">
        <v>Employee type</v>
      </c>
      <c r="AA304" t="str">
        <v>Work location</v>
      </c>
      <c r="AB304" t="str">
        <v>Tenure</v>
      </c>
      <c r="AC304" t="str">
        <v>Work Type</v>
      </c>
    </row>
    <row r="305" spans="7:29" x14ac:dyDescent="0.25">
      <c r="G305" s="33"/>
      <c r="Q305" t="str">
        <v>PR00147</v>
      </c>
      <c r="R305" t="str">
        <v>Minerva</v>
      </c>
      <c r="S305" t="str">
        <v>Ricardot</v>
      </c>
      <c r="T305" t="str">
        <v>Male</v>
      </c>
      <c r="U305" t="str">
        <v>Engineering</v>
      </c>
      <c r="V305">
        <v>120000</v>
      </c>
      <c r="W305" t="str">
        <v>Above 100k</v>
      </c>
      <c r="X305">
        <v>43416</v>
      </c>
      <c r="Y305">
        <v>1</v>
      </c>
      <c r="Z305" t="str">
        <v>Permanent</v>
      </c>
      <c r="AA305" t="str">
        <v>Remote</v>
      </c>
      <c r="AB305">
        <v>5.6109589041095891</v>
      </c>
      <c r="AC305" t="str">
        <v>Full time</v>
      </c>
    </row>
    <row r="306" spans="7:29" x14ac:dyDescent="0.25">
      <c r="G306" s="33"/>
      <c r="Q306" t="str">
        <v>SQ04612</v>
      </c>
      <c r="R306" t="str">
        <v>Mick</v>
      </c>
      <c r="S306" t="str">
        <v>Spraberry</v>
      </c>
      <c r="T306" t="str">
        <v>Female</v>
      </c>
      <c r="U306" t="str">
        <v>Services</v>
      </c>
      <c r="V306">
        <v>120000</v>
      </c>
      <c r="W306" t="str">
        <v>Above 100k</v>
      </c>
      <c r="X306">
        <v>43902</v>
      </c>
      <c r="Y306">
        <v>0.9</v>
      </c>
      <c r="Z306" t="str">
        <v>Permanent</v>
      </c>
      <c r="AA306" t="str">
        <v>Remote</v>
      </c>
      <c r="AB306">
        <v>4.279452054794521</v>
      </c>
      <c r="AC306" t="str">
        <v>Part time</v>
      </c>
    </row>
    <row r="307" spans="7:29" x14ac:dyDescent="0.25">
      <c r="G307" s="33"/>
      <c r="Q307" t="str">
        <v>PR03886</v>
      </c>
      <c r="R307" t="str">
        <v>Edd</v>
      </c>
      <c r="S307" t="str">
        <v>MacKnockiter</v>
      </c>
      <c r="T307" t="str">
        <v>Male</v>
      </c>
      <c r="U307" t="str">
        <v>Accounting</v>
      </c>
      <c r="V307">
        <v>119022.49</v>
      </c>
      <c r="W307" t="str">
        <v>Above 100k</v>
      </c>
      <c r="X307">
        <v>44431</v>
      </c>
      <c r="Y307">
        <v>1</v>
      </c>
      <c r="Z307" t="str">
        <v>Permanent</v>
      </c>
      <c r="AA307" t="str">
        <v>Auckland, New Zealand</v>
      </c>
      <c r="AB307">
        <v>2.8301369863013699</v>
      </c>
      <c r="AC307" t="str">
        <v>Full time</v>
      </c>
    </row>
    <row r="308" spans="7:29" x14ac:dyDescent="0.25">
      <c r="G308" s="33"/>
      <c r="Q308" t="str">
        <v>SQ00144</v>
      </c>
      <c r="R308" t="str">
        <v>Collen</v>
      </c>
      <c r="S308" t="str">
        <v>Dunbleton</v>
      </c>
      <c r="T308" t="str">
        <v>Male</v>
      </c>
      <c r="U308" t="str">
        <v>Engineering</v>
      </c>
      <c r="V308">
        <v>118976.16</v>
      </c>
      <c r="W308" t="str">
        <v>Above 100k</v>
      </c>
      <c r="X308">
        <v>44120</v>
      </c>
      <c r="Y308">
        <v>1</v>
      </c>
      <c r="Z308" t="str">
        <v>Permanent</v>
      </c>
      <c r="AA308" t="str">
        <v>Wellington, New Zealand</v>
      </c>
      <c r="AB308">
        <v>3.6821917808219178</v>
      </c>
      <c r="AC308" t="str">
        <v>Full time</v>
      </c>
    </row>
    <row r="309" spans="7:29" x14ac:dyDescent="0.25">
      <c r="G309" s="33"/>
      <c r="Q309" t="str">
        <v>SQ02174</v>
      </c>
      <c r="R309" t="str">
        <v>Sidoney</v>
      </c>
      <c r="S309" t="str">
        <v>Yitzhok</v>
      </c>
      <c r="T309" t="str">
        <v>Female</v>
      </c>
      <c r="U309" t="str">
        <v>Engineering</v>
      </c>
      <c r="V309">
        <v>118442.54</v>
      </c>
      <c r="W309" t="str">
        <v>Above 100k</v>
      </c>
      <c r="X309">
        <v>44193</v>
      </c>
      <c r="Y309">
        <v>1</v>
      </c>
      <c r="Z309" t="str">
        <v>Permanent</v>
      </c>
      <c r="AA309" t="str">
        <v>Auckland, New Zealand</v>
      </c>
      <c r="AB309">
        <v>3.4821917808219176</v>
      </c>
      <c r="AC309" t="str">
        <v>Full time</v>
      </c>
    </row>
    <row r="310" spans="7:29" x14ac:dyDescent="0.25">
      <c r="G310" s="33"/>
      <c r="Q310" t="str">
        <v>VT04093</v>
      </c>
      <c r="R310" t="str">
        <v>Prasanna</v>
      </c>
      <c r="S310" t="str">
        <v>Lakshmi</v>
      </c>
      <c r="T310" t="str">
        <v>Female</v>
      </c>
      <c r="U310" t="str">
        <v>Training</v>
      </c>
      <c r="V310">
        <v>116767.63</v>
      </c>
      <c r="W310" t="str">
        <v>Above 100k</v>
      </c>
      <c r="X310">
        <v>43949</v>
      </c>
      <c r="Y310">
        <v>0.4</v>
      </c>
      <c r="Z310" t="str">
        <v>Temporary</v>
      </c>
      <c r="AA310" t="str">
        <v>Chennai, India</v>
      </c>
      <c r="AB310">
        <v>4.1506849315068495</v>
      </c>
      <c r="AC310" t="str">
        <v>Part time</v>
      </c>
    </row>
    <row r="311" spans="7:29" x14ac:dyDescent="0.25">
      <c r="G311" s="33"/>
      <c r="Q311" t="str">
        <v>VT04093</v>
      </c>
      <c r="R311" t="str">
        <v>Baruna</v>
      </c>
      <c r="S311" t="str">
        <v>Ogale</v>
      </c>
      <c r="T311" t="str">
        <v>Female</v>
      </c>
      <c r="U311" t="str">
        <v>Training</v>
      </c>
      <c r="V311">
        <v>116767.63</v>
      </c>
      <c r="W311" t="str">
        <v>Above 100k</v>
      </c>
      <c r="X311">
        <v>43949</v>
      </c>
      <c r="Y311">
        <v>0.4</v>
      </c>
      <c r="Z311" t="str">
        <v>Temporary</v>
      </c>
      <c r="AA311" t="str">
        <v>Chennai, India</v>
      </c>
      <c r="AB311">
        <v>4.1506849315068495</v>
      </c>
      <c r="AC311" t="str">
        <v>Part time</v>
      </c>
    </row>
    <row r="312" spans="7:29" x14ac:dyDescent="0.25">
      <c r="G312" s="33"/>
      <c r="Q312" t="str">
        <v>PR02010</v>
      </c>
      <c r="R312" t="str">
        <v>Prerana</v>
      </c>
      <c r="S312" t="str">
        <v>Nishita</v>
      </c>
      <c r="T312" t="str">
        <v>Male</v>
      </c>
      <c r="U312" t="str">
        <v>Product Management</v>
      </c>
      <c r="V312">
        <v>115191.38</v>
      </c>
      <c r="W312" t="str">
        <v>Above 100k</v>
      </c>
      <c r="X312">
        <v>44004</v>
      </c>
      <c r="Y312">
        <v>1</v>
      </c>
      <c r="Z312" t="str">
        <v>Permanent</v>
      </c>
      <c r="AA312" t="str">
        <v>Hyderabad, India</v>
      </c>
      <c r="AB312">
        <v>4</v>
      </c>
      <c r="AC312" t="str">
        <v>Full time</v>
      </c>
    </row>
    <row r="313" spans="7:29" x14ac:dyDescent="0.25">
      <c r="G313" s="33"/>
      <c r="Q313" t="str">
        <v>SQ02624</v>
      </c>
      <c r="R313" t="str">
        <v>Gwenneth</v>
      </c>
      <c r="S313" t="str">
        <v>Fealey</v>
      </c>
      <c r="T313" t="str">
        <v>Female</v>
      </c>
      <c r="U313" t="str">
        <v>Engineering</v>
      </c>
      <c r="V313">
        <v>114772.32</v>
      </c>
      <c r="W313" t="str">
        <v>Above 100k</v>
      </c>
      <c r="X313">
        <v>44251</v>
      </c>
      <c r="Y313">
        <v>1</v>
      </c>
      <c r="Z313" t="str">
        <v>Permanent</v>
      </c>
      <c r="AA313" t="str">
        <v>Columbus, USA</v>
      </c>
      <c r="AB313">
        <v>3.3232876712328765</v>
      </c>
      <c r="AC313" t="str">
        <v>Full time</v>
      </c>
    </row>
    <row r="314" spans="7:29" x14ac:dyDescent="0.25">
      <c r="G314" s="33"/>
    </row>
    <row r="315" spans="7:29" x14ac:dyDescent="0.25">
      <c r="G315" s="33"/>
    </row>
    <row r="316" spans="7:29" x14ac:dyDescent="0.25">
      <c r="G316" s="33"/>
    </row>
    <row r="317" spans="7:29" x14ac:dyDescent="0.25">
      <c r="G317" s="33"/>
    </row>
    <row r="318" spans="7:29" x14ac:dyDescent="0.25">
      <c r="G318" s="33"/>
    </row>
    <row r="319" spans="7:29" x14ac:dyDescent="0.25">
      <c r="G319" s="33"/>
    </row>
  </sheetData>
  <autoFilter ref="B5:N52" xr:uid="{C9C3F347-FFF5-4303-A8ED-5E88455873C2}"/>
  <mergeCells count="5">
    <mergeCell ref="AP6:AX6"/>
    <mergeCell ref="B56:E56"/>
    <mergeCell ref="B57:E57"/>
    <mergeCell ref="C58:D58"/>
    <mergeCell ref="Q7:R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DF1B-171B-49FF-973F-FDFF406E730C}">
  <sheetPr>
    <tabColor theme="6" tint="-0.249977111117893"/>
  </sheetPr>
  <dimension ref="A1:AE54"/>
  <sheetViews>
    <sheetView zoomScale="80" workbookViewId="0">
      <selection activeCell="L42" sqref="L42"/>
    </sheetView>
  </sheetViews>
  <sheetFormatPr defaultRowHeight="15" x14ac:dyDescent="0.25"/>
  <cols>
    <col min="3" max="3" width="43" customWidth="1"/>
    <col min="4" max="4" width="12.85546875" customWidth="1"/>
    <col min="5" max="5" width="12" customWidth="1"/>
    <col min="6" max="6" width="15.28515625" customWidth="1"/>
    <col min="7" max="7" width="10.85546875" bestFit="1" customWidth="1"/>
    <col min="8" max="8" width="13.85546875" customWidth="1"/>
    <col min="9" max="9" width="20.28515625" bestFit="1" customWidth="1"/>
    <col min="10" max="10" width="16.85546875" customWidth="1"/>
    <col min="11" max="11" width="12.7109375" bestFit="1" customWidth="1"/>
    <col min="12" max="12" width="17.5703125" bestFit="1" customWidth="1"/>
    <col min="13" max="13" width="4" bestFit="1" customWidth="1"/>
    <col min="14" max="14" width="14.42578125" bestFit="1" customWidth="1"/>
    <col min="15" max="15" width="23.85546875" bestFit="1" customWidth="1"/>
    <col min="16" max="16" width="12" bestFit="1" customWidth="1"/>
    <col min="17" max="17" width="10.42578125" bestFit="1" customWidth="1"/>
    <col min="19" max="19" width="7.85546875" bestFit="1" customWidth="1"/>
    <col min="20" max="20" width="11.5703125" bestFit="1" customWidth="1"/>
    <col min="21" max="21" width="11.28515625" bestFit="1" customWidth="1"/>
    <col min="22" max="22" width="8.28515625" bestFit="1" customWidth="1"/>
    <col min="23" max="23" width="12.7109375" bestFit="1" customWidth="1"/>
    <col min="24" max="24" width="14.28515625" customWidth="1"/>
    <col min="25" max="25" width="14.140625" bestFit="1" customWidth="1"/>
    <col min="26" max="26" width="13.7109375" customWidth="1"/>
    <col min="27" max="27" width="4.42578125" bestFit="1" customWidth="1"/>
    <col min="28" max="28" width="15.28515625" bestFit="1" customWidth="1"/>
    <col min="29" max="29" width="22" customWidth="1"/>
    <col min="30" max="30" width="7.85546875" bestFit="1" customWidth="1"/>
    <col min="31" max="31" width="11.140625" bestFit="1" customWidth="1"/>
  </cols>
  <sheetData>
    <row r="1" spans="1:31" x14ac:dyDescent="0.25">
      <c r="A1" s="12">
        <v>3</v>
      </c>
      <c r="B1" s="13" t="s">
        <v>744</v>
      </c>
      <c r="C1" s="13"/>
      <c r="D1" s="15" t="s">
        <v>745</v>
      </c>
      <c r="E1" s="13" t="s">
        <v>763</v>
      </c>
    </row>
    <row r="3" spans="1:31" x14ac:dyDescent="0.25">
      <c r="E3" s="64" t="s">
        <v>785</v>
      </c>
      <c r="F3" s="64"/>
      <c r="G3" s="64"/>
      <c r="H3" s="64"/>
      <c r="I3" s="64"/>
      <c r="J3" s="64"/>
      <c r="S3" s="68" t="s">
        <v>786</v>
      </c>
      <c r="T3" s="68"/>
      <c r="U3" s="68"/>
      <c r="V3" s="68"/>
      <c r="W3" s="68"/>
      <c r="X3" s="68"/>
      <c r="Y3" s="68"/>
      <c r="Z3" s="68"/>
      <c r="AA3" s="68"/>
      <c r="AB3" s="68"/>
      <c r="AC3" s="68"/>
    </row>
    <row r="4" spans="1:31" x14ac:dyDescent="0.25">
      <c r="S4" s="1" t="s">
        <v>5</v>
      </c>
      <c r="T4" s="26">
        <v>100000</v>
      </c>
      <c r="U4" s="1" t="s">
        <v>3</v>
      </c>
      <c r="V4" s="26" t="s">
        <v>24</v>
      </c>
      <c r="W4" s="1" t="s">
        <v>784</v>
      </c>
      <c r="X4" s="46">
        <v>43831</v>
      </c>
    </row>
    <row r="5" spans="1:31" x14ac:dyDescent="0.25">
      <c r="E5" s="26" t="str" cm="1">
        <f t="array" ref="E5:Q5">staff[#Headers]</f>
        <v>Emp ID</v>
      </c>
      <c r="F5" s="26" t="str">
        <v>First Name</v>
      </c>
      <c r="G5" s="26" t="str">
        <v>Last Name</v>
      </c>
      <c r="H5" s="26" t="str">
        <v>Gender</v>
      </c>
      <c r="I5" s="26" t="str">
        <v>Department</v>
      </c>
      <c r="J5" s="41" t="str">
        <v>Salary</v>
      </c>
      <c r="K5" s="26" t="str">
        <v>Salary Bucket</v>
      </c>
      <c r="L5" s="42" t="str">
        <v>Start Date</v>
      </c>
      <c r="M5" s="26" t="str">
        <v>FTE</v>
      </c>
      <c r="N5" s="26" t="str">
        <v>Employee type</v>
      </c>
      <c r="O5" s="26" t="str">
        <v>Work location</v>
      </c>
      <c r="P5" s="26" t="str">
        <v>Tenure</v>
      </c>
      <c r="Q5" s="26" t="str">
        <v>Work Type</v>
      </c>
      <c r="S5" s="26" t="str" cm="1">
        <f t="array" ref="S5:AE5">staff[#Headers]</f>
        <v>Emp ID</v>
      </c>
      <c r="T5" s="26" t="str">
        <v>First Name</v>
      </c>
      <c r="U5" s="26" t="str">
        <v>Last Name</v>
      </c>
      <c r="V5" s="26" t="str">
        <v>Gender</v>
      </c>
      <c r="W5" s="26" t="str">
        <v>Department</v>
      </c>
      <c r="X5" s="26" t="str">
        <v>Salary</v>
      </c>
      <c r="Y5" s="26" t="str">
        <v>Salary Bucket</v>
      </c>
      <c r="Z5" s="45" t="str">
        <v>Start Date</v>
      </c>
      <c r="AA5" s="26" t="str">
        <v>FTE</v>
      </c>
      <c r="AB5" s="26" t="str">
        <v>Employee type</v>
      </c>
      <c r="AC5" s="26" t="str">
        <v>Work location</v>
      </c>
      <c r="AD5" s="26" t="str">
        <v>Tenure</v>
      </c>
      <c r="AE5" s="26" t="str">
        <v>Work Type</v>
      </c>
    </row>
    <row r="6" spans="1:31" x14ac:dyDescent="0.25">
      <c r="E6" t="str" cm="1">
        <f t="array" ref="E6:Q23">_xlfn._xlws.FILTER(staff[],(staff[Salary]&gt;100000)*(staff[Gender] = "Female"))</f>
        <v>SQ04612</v>
      </c>
      <c r="F6" t="str">
        <v>Mick</v>
      </c>
      <c r="G6" t="str">
        <v>Spraberry</v>
      </c>
      <c r="H6" t="str">
        <v>Female</v>
      </c>
      <c r="I6" t="str">
        <v>Services</v>
      </c>
      <c r="J6" s="33">
        <v>120000</v>
      </c>
      <c r="K6" t="str">
        <v>Above 100k</v>
      </c>
      <c r="L6" s="43">
        <v>43902</v>
      </c>
      <c r="M6">
        <v>0.9</v>
      </c>
      <c r="N6" t="str">
        <v>Permanent</v>
      </c>
      <c r="O6" t="str">
        <v>Remote</v>
      </c>
      <c r="P6">
        <v>4.279452054794521</v>
      </c>
      <c r="Q6" t="str">
        <v>Part time</v>
      </c>
      <c r="S6" t="str" cm="1">
        <f t="array" ref="S6:AE18">_xlfn._xlws.FILTER(staff[],(staff[Salary]&gt;T4)*(staff[Gender] = V4)*(staff[Start Date]&gt;=X4))</f>
        <v>SQ04612</v>
      </c>
      <c r="T6" t="str">
        <v>Mick</v>
      </c>
      <c r="U6" t="str">
        <v>Spraberry</v>
      </c>
      <c r="V6" t="str">
        <v>Female</v>
      </c>
      <c r="W6" t="str">
        <v>Services</v>
      </c>
      <c r="X6" s="33">
        <v>120000</v>
      </c>
      <c r="Y6" t="str">
        <v>Above 100k</v>
      </c>
      <c r="Z6" s="44">
        <v>43902</v>
      </c>
      <c r="AA6">
        <v>0.9</v>
      </c>
      <c r="AB6" t="str">
        <v>Permanent</v>
      </c>
      <c r="AC6" t="str">
        <v>Remote</v>
      </c>
      <c r="AD6">
        <v>4.279452054794521</v>
      </c>
      <c r="AE6" t="str">
        <v>Part time</v>
      </c>
    </row>
    <row r="7" spans="1:31" x14ac:dyDescent="0.25">
      <c r="E7" t="str">
        <v>SQ02174</v>
      </c>
      <c r="F7" t="str">
        <v>Sidoney</v>
      </c>
      <c r="G7" t="str">
        <v>Yitzhok</v>
      </c>
      <c r="H7" t="str">
        <v>Female</v>
      </c>
      <c r="I7" t="str">
        <v>Engineering</v>
      </c>
      <c r="J7" s="33">
        <v>118442.54</v>
      </c>
      <c r="K7" t="str">
        <v>Above 100k</v>
      </c>
      <c r="L7" s="43">
        <v>44193</v>
      </c>
      <c r="M7">
        <v>1</v>
      </c>
      <c r="N7" t="str">
        <v>Permanent</v>
      </c>
      <c r="O7" t="str">
        <v>Auckland, New Zealand</v>
      </c>
      <c r="P7">
        <v>3.4821917808219176</v>
      </c>
      <c r="Q7" t="str">
        <v>Full time</v>
      </c>
      <c r="S7" t="str">
        <v>SQ02174</v>
      </c>
      <c r="T7" t="str">
        <v>Sidoney</v>
      </c>
      <c r="U7" t="str">
        <v>Yitzhok</v>
      </c>
      <c r="V7" t="str">
        <v>Female</v>
      </c>
      <c r="W7" t="str">
        <v>Engineering</v>
      </c>
      <c r="X7" s="33">
        <v>118442.54</v>
      </c>
      <c r="Y7" t="str">
        <v>Above 100k</v>
      </c>
      <c r="Z7" s="44">
        <v>44193</v>
      </c>
      <c r="AA7">
        <v>1</v>
      </c>
      <c r="AB7" t="str">
        <v>Permanent</v>
      </c>
      <c r="AC7" t="str">
        <v>Auckland, New Zealand</v>
      </c>
      <c r="AD7">
        <v>3.4821917808219176</v>
      </c>
      <c r="AE7" t="str">
        <v>Full time</v>
      </c>
    </row>
    <row r="8" spans="1:31" x14ac:dyDescent="0.25">
      <c r="E8" t="str">
        <v>VT04093</v>
      </c>
      <c r="F8" t="str">
        <v>Prasanna</v>
      </c>
      <c r="G8" t="str">
        <v>Lakshmi</v>
      </c>
      <c r="H8" t="str">
        <v>Female</v>
      </c>
      <c r="I8" t="str">
        <v>Training</v>
      </c>
      <c r="J8" s="33">
        <v>116767.63</v>
      </c>
      <c r="K8" t="str">
        <v>Above 100k</v>
      </c>
      <c r="L8" s="43">
        <v>43949</v>
      </c>
      <c r="M8">
        <v>0.4</v>
      </c>
      <c r="N8" t="str">
        <v>Temporary</v>
      </c>
      <c r="O8" t="str">
        <v>Chennai, India</v>
      </c>
      <c r="P8">
        <v>4.1506849315068495</v>
      </c>
      <c r="Q8" t="str">
        <v>Part time</v>
      </c>
      <c r="S8" t="str">
        <v>VT04093</v>
      </c>
      <c r="T8" t="str">
        <v>Prasanna</v>
      </c>
      <c r="U8" t="str">
        <v>Lakshmi</v>
      </c>
      <c r="V8" t="str">
        <v>Female</v>
      </c>
      <c r="W8" t="str">
        <v>Training</v>
      </c>
      <c r="X8" s="33">
        <v>116767.63</v>
      </c>
      <c r="Y8" t="str">
        <v>Above 100k</v>
      </c>
      <c r="Z8" s="44">
        <v>43949</v>
      </c>
      <c r="AA8">
        <v>0.4</v>
      </c>
      <c r="AB8" t="str">
        <v>Temporary</v>
      </c>
      <c r="AC8" t="str">
        <v>Chennai, India</v>
      </c>
      <c r="AD8">
        <v>4.1506849315068495</v>
      </c>
      <c r="AE8" t="str">
        <v>Part time</v>
      </c>
    </row>
    <row r="9" spans="1:31" x14ac:dyDescent="0.25">
      <c r="E9" t="str">
        <v>VT04093</v>
      </c>
      <c r="F9" t="str">
        <v>Baruna</v>
      </c>
      <c r="G9" t="str">
        <v>Ogale</v>
      </c>
      <c r="H9" t="str">
        <v>Female</v>
      </c>
      <c r="I9" t="str">
        <v>Training</v>
      </c>
      <c r="J9" s="33">
        <v>116767.63</v>
      </c>
      <c r="K9" t="str">
        <v>Above 100k</v>
      </c>
      <c r="L9" s="43">
        <v>43949</v>
      </c>
      <c r="M9">
        <v>0.4</v>
      </c>
      <c r="N9" t="str">
        <v>Temporary</v>
      </c>
      <c r="O9" t="str">
        <v>Chennai, India</v>
      </c>
      <c r="P9">
        <v>4.1506849315068495</v>
      </c>
      <c r="Q9" t="str">
        <v>Part time</v>
      </c>
      <c r="S9" t="str">
        <v>VT04093</v>
      </c>
      <c r="T9" t="str">
        <v>Baruna</v>
      </c>
      <c r="U9" t="str">
        <v>Ogale</v>
      </c>
      <c r="V9" t="str">
        <v>Female</v>
      </c>
      <c r="W9" t="str">
        <v>Training</v>
      </c>
      <c r="X9" s="33">
        <v>116767.63</v>
      </c>
      <c r="Y9" t="str">
        <v>Above 100k</v>
      </c>
      <c r="Z9" s="44">
        <v>43949</v>
      </c>
      <c r="AA9">
        <v>0.4</v>
      </c>
      <c r="AB9" t="str">
        <v>Temporary</v>
      </c>
      <c r="AC9" t="str">
        <v>Chennai, India</v>
      </c>
      <c r="AD9">
        <v>4.1506849315068495</v>
      </c>
      <c r="AE9" t="str">
        <v>Part time</v>
      </c>
    </row>
    <row r="10" spans="1:31" x14ac:dyDescent="0.25">
      <c r="E10" t="str">
        <v>SQ02624</v>
      </c>
      <c r="F10" t="str">
        <v>Gwenneth</v>
      </c>
      <c r="G10" t="str">
        <v>Fealey</v>
      </c>
      <c r="H10" t="str">
        <v>Female</v>
      </c>
      <c r="I10" t="str">
        <v>Engineering</v>
      </c>
      <c r="J10" s="33">
        <v>114772.32</v>
      </c>
      <c r="K10" t="str">
        <v>Above 100k</v>
      </c>
      <c r="L10" s="43">
        <v>44251</v>
      </c>
      <c r="M10">
        <v>1</v>
      </c>
      <c r="N10" t="str">
        <v>Permanent</v>
      </c>
      <c r="O10" t="str">
        <v>Columbus, USA</v>
      </c>
      <c r="P10">
        <v>3.3232876712328765</v>
      </c>
      <c r="Q10" t="str">
        <v>Full time</v>
      </c>
      <c r="S10" t="str">
        <v>SQ02624</v>
      </c>
      <c r="T10" t="str">
        <v>Gwenneth</v>
      </c>
      <c r="U10" t="str">
        <v>Fealey</v>
      </c>
      <c r="V10" t="str">
        <v>Female</v>
      </c>
      <c r="W10" t="str">
        <v>Engineering</v>
      </c>
      <c r="X10" s="33">
        <v>114772.32</v>
      </c>
      <c r="Y10" t="str">
        <v>Above 100k</v>
      </c>
      <c r="Z10" s="44">
        <v>44251</v>
      </c>
      <c r="AA10">
        <v>1</v>
      </c>
      <c r="AB10" t="str">
        <v>Permanent</v>
      </c>
      <c r="AC10" t="str">
        <v>Columbus, USA</v>
      </c>
      <c r="AD10">
        <v>3.3232876712328765</v>
      </c>
      <c r="AE10" t="str">
        <v>Full time</v>
      </c>
    </row>
    <row r="11" spans="1:31" x14ac:dyDescent="0.25">
      <c r="E11" t="str">
        <v>TN01281</v>
      </c>
      <c r="F11" t="str">
        <v>Cletus</v>
      </c>
      <c r="G11" t="str">
        <v>McGarahan</v>
      </c>
      <c r="H11" t="str">
        <v>Female</v>
      </c>
      <c r="I11" t="str">
        <v>Engineering</v>
      </c>
      <c r="J11" s="33">
        <v>114425.19</v>
      </c>
      <c r="K11" t="str">
        <v>Above 100k</v>
      </c>
      <c r="L11" s="43">
        <v>43857</v>
      </c>
      <c r="M11">
        <v>1</v>
      </c>
      <c r="N11" t="str">
        <v>Permanent</v>
      </c>
      <c r="O11" t="str">
        <v>Wellington, New Zealand</v>
      </c>
      <c r="P11">
        <v>4.4027397260273968</v>
      </c>
      <c r="Q11" t="str">
        <v>Full time</v>
      </c>
      <c r="S11" t="str">
        <v>TN01281</v>
      </c>
      <c r="T11" t="str">
        <v>Cletus</v>
      </c>
      <c r="U11" t="str">
        <v>McGarahan</v>
      </c>
      <c r="V11" t="str">
        <v>Female</v>
      </c>
      <c r="W11" t="str">
        <v>Engineering</v>
      </c>
      <c r="X11" s="33">
        <v>114425.19</v>
      </c>
      <c r="Y11" t="str">
        <v>Above 100k</v>
      </c>
      <c r="Z11" s="44">
        <v>43857</v>
      </c>
      <c r="AA11">
        <v>1</v>
      </c>
      <c r="AB11" t="str">
        <v>Permanent</v>
      </c>
      <c r="AC11" t="str">
        <v>Wellington, New Zealand</v>
      </c>
      <c r="AD11">
        <v>4.4027397260273968</v>
      </c>
      <c r="AE11" t="str">
        <v>Full time</v>
      </c>
    </row>
    <row r="12" spans="1:31" x14ac:dyDescent="0.25">
      <c r="E12" t="str">
        <v>PR00746</v>
      </c>
      <c r="F12" t="str">
        <v>Hogan</v>
      </c>
      <c r="G12" t="str">
        <v>Iles</v>
      </c>
      <c r="H12" t="str">
        <v>Female</v>
      </c>
      <c r="I12" t="str">
        <v>Accounting</v>
      </c>
      <c r="J12" s="33">
        <v>114177.23</v>
      </c>
      <c r="K12" t="str">
        <v>Above 100k</v>
      </c>
      <c r="L12" s="43">
        <v>43908</v>
      </c>
      <c r="M12">
        <v>1</v>
      </c>
      <c r="N12" t="str">
        <v>Permanent</v>
      </c>
      <c r="O12" t="str">
        <v>Wellington, New Zealand</v>
      </c>
      <c r="P12">
        <v>4.2630136986301368</v>
      </c>
      <c r="Q12" t="str">
        <v>Full time</v>
      </c>
      <c r="S12" t="str">
        <v>PR00746</v>
      </c>
      <c r="T12" t="str">
        <v>Hogan</v>
      </c>
      <c r="U12" t="str">
        <v>Iles</v>
      </c>
      <c r="V12" t="str">
        <v>Female</v>
      </c>
      <c r="W12" t="str">
        <v>Accounting</v>
      </c>
      <c r="X12" s="33">
        <v>114177.23</v>
      </c>
      <c r="Y12" t="str">
        <v>Above 100k</v>
      </c>
      <c r="Z12" s="44">
        <v>43908</v>
      </c>
      <c r="AA12">
        <v>1</v>
      </c>
      <c r="AB12" t="str">
        <v>Permanent</v>
      </c>
      <c r="AC12" t="str">
        <v>Wellington, New Zealand</v>
      </c>
      <c r="AD12">
        <v>4.2630136986301368</v>
      </c>
      <c r="AE12" t="str">
        <v>Full time</v>
      </c>
    </row>
    <row r="13" spans="1:31" x14ac:dyDescent="0.25">
      <c r="E13" t="str">
        <v>SQ00498</v>
      </c>
      <c r="F13" t="str">
        <v>Amery</v>
      </c>
      <c r="G13" t="str">
        <v>Ofer</v>
      </c>
      <c r="H13" t="str">
        <v>Female</v>
      </c>
      <c r="I13" t="str">
        <v>Legal</v>
      </c>
      <c r="J13" s="33">
        <v>111049.84</v>
      </c>
      <c r="K13" t="str">
        <v>Above 100k</v>
      </c>
      <c r="L13" s="43">
        <v>44393</v>
      </c>
      <c r="M13">
        <v>1</v>
      </c>
      <c r="N13" t="str">
        <v>Permanent</v>
      </c>
      <c r="O13" t="str">
        <v>Wellington, New Zealand</v>
      </c>
      <c r="P13">
        <v>2.9342465753424656</v>
      </c>
      <c r="Q13" t="str">
        <v>Full time</v>
      </c>
      <c r="S13" t="str">
        <v>SQ00498</v>
      </c>
      <c r="T13" t="str">
        <v>Amery</v>
      </c>
      <c r="U13" t="str">
        <v>Ofer</v>
      </c>
      <c r="V13" t="str">
        <v>Female</v>
      </c>
      <c r="W13" t="str">
        <v>Legal</v>
      </c>
      <c r="X13" s="33">
        <v>111049.84</v>
      </c>
      <c r="Y13" t="str">
        <v>Above 100k</v>
      </c>
      <c r="Z13" s="44">
        <v>44393</v>
      </c>
      <c r="AA13">
        <v>1</v>
      </c>
      <c r="AB13" t="str">
        <v>Permanent</v>
      </c>
      <c r="AC13" t="str">
        <v>Wellington, New Zealand</v>
      </c>
      <c r="AD13">
        <v>2.9342465753424656</v>
      </c>
      <c r="AE13" t="str">
        <v>Full time</v>
      </c>
    </row>
    <row r="14" spans="1:31" x14ac:dyDescent="0.25">
      <c r="E14" t="str">
        <v>VT04681</v>
      </c>
      <c r="F14" t="str">
        <v>Nickolai</v>
      </c>
      <c r="G14" t="str">
        <v>Artin</v>
      </c>
      <c r="H14" t="str">
        <v>Female</v>
      </c>
      <c r="I14" t="str">
        <v>Product Management</v>
      </c>
      <c r="J14" s="33">
        <v>110906.35</v>
      </c>
      <c r="K14" t="str">
        <v>Above 100k</v>
      </c>
      <c r="L14" s="43">
        <v>43434</v>
      </c>
      <c r="M14">
        <v>1</v>
      </c>
      <c r="N14" t="str">
        <v>Temporary</v>
      </c>
      <c r="O14" t="str">
        <v>Wellington, New Zealand</v>
      </c>
      <c r="P14">
        <v>5.5616438356164384</v>
      </c>
      <c r="Q14" t="str">
        <v>Full time</v>
      </c>
      <c r="S14" t="str">
        <v>TN00579</v>
      </c>
      <c r="T14" t="str">
        <v>Rafaelita</v>
      </c>
      <c r="U14" t="str">
        <v>Blaksland</v>
      </c>
      <c r="V14" t="str">
        <v>Female</v>
      </c>
      <c r="W14" t="str">
        <v>Services</v>
      </c>
      <c r="X14" s="33">
        <v>109163.39</v>
      </c>
      <c r="Y14" t="str">
        <v>Above 100k</v>
      </c>
      <c r="Z14" s="44">
        <v>44019</v>
      </c>
      <c r="AA14">
        <v>0.8</v>
      </c>
      <c r="AB14" t="str">
        <v>Permanent</v>
      </c>
      <c r="AC14" t="str">
        <v>Seattle, USA</v>
      </c>
      <c r="AD14">
        <v>3.9589041095890409</v>
      </c>
      <c r="AE14" t="str">
        <v>Part time</v>
      </c>
    </row>
    <row r="15" spans="1:31" x14ac:dyDescent="0.25">
      <c r="E15" t="str">
        <v>TN00579</v>
      </c>
      <c r="F15" t="str">
        <v>Rafaelita</v>
      </c>
      <c r="G15" t="str">
        <v>Blaksland</v>
      </c>
      <c r="H15" t="str">
        <v>Female</v>
      </c>
      <c r="I15" t="str">
        <v>Services</v>
      </c>
      <c r="J15" s="33">
        <v>109163.39</v>
      </c>
      <c r="K15" t="str">
        <v>Above 100k</v>
      </c>
      <c r="L15" s="43">
        <v>44019</v>
      </c>
      <c r="M15">
        <v>0.8</v>
      </c>
      <c r="N15" t="str">
        <v>Permanent</v>
      </c>
      <c r="O15" t="str">
        <v>Seattle, USA</v>
      </c>
      <c r="P15">
        <v>3.9589041095890409</v>
      </c>
      <c r="Q15" t="str">
        <v>Part time</v>
      </c>
      <c r="S15" t="str">
        <v>PR02208</v>
      </c>
      <c r="T15" t="str">
        <v>Gowri</v>
      </c>
      <c r="U15" t="str">
        <v>Sankar</v>
      </c>
      <c r="V15" t="str">
        <v>Female</v>
      </c>
      <c r="W15" t="str">
        <v>Training</v>
      </c>
      <c r="X15" s="33">
        <v>102934.09</v>
      </c>
      <c r="Y15" t="str">
        <v>Above 100k</v>
      </c>
      <c r="Z15" s="44">
        <v>44315</v>
      </c>
      <c r="AA15">
        <v>1</v>
      </c>
      <c r="AB15" t="str">
        <v>Permanent</v>
      </c>
      <c r="AC15" t="str">
        <v>Hyderabad, India</v>
      </c>
      <c r="AD15">
        <v>3.1479452054794521</v>
      </c>
      <c r="AE15" t="str">
        <v>Full time</v>
      </c>
    </row>
    <row r="16" spans="1:31" x14ac:dyDescent="0.25">
      <c r="E16" t="str">
        <v>VT04552</v>
      </c>
      <c r="F16" t="str">
        <v>Theresita</v>
      </c>
      <c r="G16" t="str">
        <v>Chasmer</v>
      </c>
      <c r="H16" t="str">
        <v>Female</v>
      </c>
      <c r="I16" t="str">
        <v>Product Management</v>
      </c>
      <c r="J16" s="33">
        <v>106665.67</v>
      </c>
      <c r="K16" t="str">
        <v>Above 100k</v>
      </c>
      <c r="L16" s="43">
        <v>43311</v>
      </c>
      <c r="M16">
        <v>1</v>
      </c>
      <c r="N16" t="str">
        <v>Temporary</v>
      </c>
      <c r="O16" t="str">
        <v>Columbus, USA</v>
      </c>
      <c r="P16">
        <v>5.8986301369863012</v>
      </c>
      <c r="Q16" t="str">
        <v>Full time</v>
      </c>
      <c r="S16" t="str">
        <v>SQ03491</v>
      </c>
      <c r="T16" t="str">
        <v>Freda</v>
      </c>
      <c r="U16" t="str">
        <v>Legan</v>
      </c>
      <c r="V16" t="str">
        <v>Female</v>
      </c>
      <c r="W16" t="str">
        <v>Sales</v>
      </c>
      <c r="X16" s="33">
        <v>102129.37</v>
      </c>
      <c r="Y16" t="str">
        <v>Above 100k</v>
      </c>
      <c r="Z16" s="44">
        <v>44396</v>
      </c>
      <c r="AA16">
        <v>1</v>
      </c>
      <c r="AB16" t="str">
        <v>Permanent</v>
      </c>
      <c r="AC16" t="str">
        <v>Columbus, USA</v>
      </c>
      <c r="AD16">
        <v>2.9260273972602739</v>
      </c>
      <c r="AE16" t="str">
        <v>Full time</v>
      </c>
    </row>
    <row r="17" spans="4:31" x14ac:dyDescent="0.25">
      <c r="E17" t="str">
        <v>SQ02703</v>
      </c>
      <c r="F17" t="str">
        <v>Deepit</v>
      </c>
      <c r="G17" t="str">
        <v>Ranjana</v>
      </c>
      <c r="H17" t="str">
        <v>Female</v>
      </c>
      <c r="I17" t="str">
        <v>Marketing</v>
      </c>
      <c r="J17" s="33">
        <v>104903.79</v>
      </c>
      <c r="K17" t="str">
        <v>Above 100k</v>
      </c>
      <c r="L17" s="43">
        <v>43649</v>
      </c>
      <c r="M17">
        <v>1</v>
      </c>
      <c r="N17" t="str">
        <v>Permanent</v>
      </c>
      <c r="O17" t="str">
        <v>Chennai, India</v>
      </c>
      <c r="P17">
        <v>4.9726027397260273</v>
      </c>
      <c r="Q17" t="str">
        <v>Full time</v>
      </c>
      <c r="S17" t="str">
        <v>SQ03387</v>
      </c>
      <c r="T17" t="str">
        <v>Robinia</v>
      </c>
      <c r="U17" t="str">
        <v>Scholling</v>
      </c>
      <c r="V17" t="str">
        <v>Female</v>
      </c>
      <c r="W17" t="str">
        <v>Human Resources</v>
      </c>
      <c r="X17" s="33">
        <v>100731.95</v>
      </c>
      <c r="Y17" t="str">
        <v>Above 100k</v>
      </c>
      <c r="Z17" s="44">
        <v>43936</v>
      </c>
      <c r="AA17">
        <v>1</v>
      </c>
      <c r="AB17" t="str">
        <v>Permanent</v>
      </c>
      <c r="AC17" t="str">
        <v>Auckland, New Zealand</v>
      </c>
      <c r="AD17">
        <v>4.1863013698630134</v>
      </c>
      <c r="AE17" t="str">
        <v>Full time</v>
      </c>
    </row>
    <row r="18" spans="4:31" x14ac:dyDescent="0.25">
      <c r="E18" t="str">
        <v>TN04740</v>
      </c>
      <c r="F18" t="str">
        <v>Tristam</v>
      </c>
      <c r="G18" t="str">
        <v>Cuming</v>
      </c>
      <c r="H18" t="str">
        <v>Female</v>
      </c>
      <c r="I18" t="str">
        <v>Support</v>
      </c>
      <c r="J18" s="33">
        <v>104038.9</v>
      </c>
      <c r="K18" t="str">
        <v>Above 100k</v>
      </c>
      <c r="L18" s="43">
        <v>43815</v>
      </c>
      <c r="M18">
        <v>1</v>
      </c>
      <c r="N18" t="str">
        <v>Fixed Term</v>
      </c>
      <c r="O18" t="str">
        <v>Remote</v>
      </c>
      <c r="P18">
        <v>4.5178082191780824</v>
      </c>
      <c r="Q18" t="str">
        <v>Full time</v>
      </c>
      <c r="S18" t="str">
        <v>TN04246</v>
      </c>
      <c r="T18" t="str">
        <v>Shaylyn</v>
      </c>
      <c r="U18" t="str">
        <v>Ransbury</v>
      </c>
      <c r="V18" t="str">
        <v>Female</v>
      </c>
      <c r="W18" t="str">
        <v>Support</v>
      </c>
      <c r="X18" s="33">
        <v>100371.31</v>
      </c>
      <c r="Y18" t="str">
        <v>Above 100k</v>
      </c>
      <c r="Z18" s="44">
        <v>44067</v>
      </c>
      <c r="AA18">
        <v>0.8</v>
      </c>
      <c r="AB18" t="str">
        <v>Fixed Term</v>
      </c>
      <c r="AC18" t="str">
        <v>Auckland, New Zealand</v>
      </c>
      <c r="AD18">
        <v>3.8273972602739725</v>
      </c>
      <c r="AE18" t="str">
        <v>Part time</v>
      </c>
    </row>
    <row r="19" spans="4:31" x14ac:dyDescent="0.25">
      <c r="E19" t="str">
        <v>PR02208</v>
      </c>
      <c r="F19" t="str">
        <v>Gowri</v>
      </c>
      <c r="G19" t="str">
        <v>Sankar</v>
      </c>
      <c r="H19" t="str">
        <v>Female</v>
      </c>
      <c r="I19" t="str">
        <v>Training</v>
      </c>
      <c r="J19" s="33">
        <v>102934.09</v>
      </c>
      <c r="K19" t="str">
        <v>Above 100k</v>
      </c>
      <c r="L19" s="43">
        <v>44315</v>
      </c>
      <c r="M19">
        <v>1</v>
      </c>
      <c r="N19" t="str">
        <v>Permanent</v>
      </c>
      <c r="O19" t="str">
        <v>Hyderabad, India</v>
      </c>
      <c r="P19">
        <v>3.1479452054794521</v>
      </c>
      <c r="Q19" t="str">
        <v>Full time</v>
      </c>
      <c r="Z19" s="44"/>
    </row>
    <row r="20" spans="4:31" x14ac:dyDescent="0.25">
      <c r="E20" t="str">
        <v>SQ03491</v>
      </c>
      <c r="F20" t="str">
        <v>Freda</v>
      </c>
      <c r="G20" t="str">
        <v>Legan</v>
      </c>
      <c r="H20" t="str">
        <v>Female</v>
      </c>
      <c r="I20" t="str">
        <v>Sales</v>
      </c>
      <c r="J20" s="33">
        <v>102129.37</v>
      </c>
      <c r="K20" t="str">
        <v>Above 100k</v>
      </c>
      <c r="L20" s="43">
        <v>44396</v>
      </c>
      <c r="M20">
        <v>1</v>
      </c>
      <c r="N20" t="str">
        <v>Permanent</v>
      </c>
      <c r="O20" t="str">
        <v>Columbus, USA</v>
      </c>
      <c r="P20">
        <v>2.9260273972602739</v>
      </c>
      <c r="Q20" t="str">
        <v>Full time</v>
      </c>
      <c r="Z20" s="44"/>
    </row>
    <row r="21" spans="4:31" x14ac:dyDescent="0.25">
      <c r="E21" t="str">
        <v>VT01684</v>
      </c>
      <c r="F21" t="str">
        <v>Audry</v>
      </c>
      <c r="G21" t="str">
        <v>Yu</v>
      </c>
      <c r="H21" t="str">
        <v>Female</v>
      </c>
      <c r="I21" t="str">
        <v>Training</v>
      </c>
      <c r="J21" s="33">
        <v>101187.36</v>
      </c>
      <c r="K21" t="str">
        <v>Above 100k</v>
      </c>
      <c r="L21" s="43">
        <v>43258</v>
      </c>
      <c r="M21">
        <v>1</v>
      </c>
      <c r="N21" t="str">
        <v>Fixed Term</v>
      </c>
      <c r="O21" t="str">
        <v>Columbus, USA</v>
      </c>
      <c r="P21">
        <v>6.043835616438356</v>
      </c>
      <c r="Q21" t="str">
        <v>Full time</v>
      </c>
      <c r="Z21" s="44"/>
    </row>
    <row r="22" spans="4:31" x14ac:dyDescent="0.25">
      <c r="E22" t="str">
        <v>SQ03387</v>
      </c>
      <c r="F22" t="str">
        <v>Robinia</v>
      </c>
      <c r="G22" t="str">
        <v>Scholling</v>
      </c>
      <c r="H22" t="str">
        <v>Female</v>
      </c>
      <c r="I22" t="str">
        <v>Human Resources</v>
      </c>
      <c r="J22" s="33">
        <v>100731.95</v>
      </c>
      <c r="K22" t="str">
        <v>Above 100k</v>
      </c>
      <c r="L22" s="43">
        <v>43936</v>
      </c>
      <c r="M22">
        <v>1</v>
      </c>
      <c r="N22" t="str">
        <v>Permanent</v>
      </c>
      <c r="O22" t="str">
        <v>Auckland, New Zealand</v>
      </c>
      <c r="P22">
        <v>4.1863013698630134</v>
      </c>
      <c r="Q22" t="str">
        <v>Full time</v>
      </c>
      <c r="Z22" s="44"/>
    </row>
    <row r="23" spans="4:31" x14ac:dyDescent="0.25">
      <c r="E23" t="str">
        <v>TN04246</v>
      </c>
      <c r="F23" t="str">
        <v>Shaylyn</v>
      </c>
      <c r="G23" t="str">
        <v>Ransbury</v>
      </c>
      <c r="H23" t="str">
        <v>Female</v>
      </c>
      <c r="I23" t="str">
        <v>Support</v>
      </c>
      <c r="J23" s="33">
        <v>100371.31</v>
      </c>
      <c r="K23" t="str">
        <v>Above 100k</v>
      </c>
      <c r="L23" s="43">
        <v>44067</v>
      </c>
      <c r="M23">
        <v>0.8</v>
      </c>
      <c r="N23" t="str">
        <v>Fixed Term</v>
      </c>
      <c r="O23" t="str">
        <v>Auckland, New Zealand</v>
      </c>
      <c r="P23">
        <v>3.8273972602739725</v>
      </c>
      <c r="Q23" t="str">
        <v>Part time</v>
      </c>
      <c r="Z23" s="44"/>
    </row>
    <row r="32" spans="4:31" x14ac:dyDescent="0.25">
      <c r="D32" s="64" t="s">
        <v>787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</row>
    <row r="35" spans="4:9" x14ac:dyDescent="0.25">
      <c r="E35" t="s">
        <v>5</v>
      </c>
      <c r="F35">
        <v>100000</v>
      </c>
      <c r="G35" t="s">
        <v>3</v>
      </c>
      <c r="H35" t="s">
        <v>24</v>
      </c>
    </row>
    <row r="36" spans="4:9" x14ac:dyDescent="0.25">
      <c r="D36" s="37" t="str" cm="1">
        <f t="array" ref="D36:I36">staff[[#Headers],[Emp ID]:[Salary]]</f>
        <v>Emp ID</v>
      </c>
      <c r="E36" s="37" t="str">
        <v>First Name</v>
      </c>
      <c r="F36" s="37" t="str">
        <v>Last Name</v>
      </c>
      <c r="G36" s="37" t="str">
        <v>Gender</v>
      </c>
      <c r="H36" s="37" t="str">
        <v>Department</v>
      </c>
      <c r="I36" s="37" t="str">
        <v>Salary</v>
      </c>
    </row>
    <row r="37" spans="4:9" x14ac:dyDescent="0.25">
      <c r="D37" t="str" cm="1">
        <f t="array" ref="D37:I54">_xlfn._xlws.FILTER(staff[[Emp ID]:[Salary]],(staff[Salary]&gt;F35)*(staff[Gender] = H35))</f>
        <v>SQ04612</v>
      </c>
      <c r="E37" t="str">
        <v>Mick</v>
      </c>
      <c r="F37" t="str">
        <v>Spraberry</v>
      </c>
      <c r="G37" t="str">
        <v>Female</v>
      </c>
      <c r="H37" t="str">
        <v>Services</v>
      </c>
      <c r="I37">
        <v>120000</v>
      </c>
    </row>
    <row r="38" spans="4:9" x14ac:dyDescent="0.25">
      <c r="D38" t="str">
        <v>SQ02174</v>
      </c>
      <c r="E38" t="str">
        <v>Sidoney</v>
      </c>
      <c r="F38" t="str">
        <v>Yitzhok</v>
      </c>
      <c r="G38" t="str">
        <v>Female</v>
      </c>
      <c r="H38" t="str">
        <v>Engineering</v>
      </c>
      <c r="I38">
        <v>118442.54</v>
      </c>
    </row>
    <row r="39" spans="4:9" x14ac:dyDescent="0.25">
      <c r="D39" t="str">
        <v>VT04093</v>
      </c>
      <c r="E39" t="str">
        <v>Prasanna</v>
      </c>
      <c r="F39" t="str">
        <v>Lakshmi</v>
      </c>
      <c r="G39" t="str">
        <v>Female</v>
      </c>
      <c r="H39" t="str">
        <v>Training</v>
      </c>
      <c r="I39">
        <v>116767.63</v>
      </c>
    </row>
    <row r="40" spans="4:9" x14ac:dyDescent="0.25">
      <c r="D40" t="str">
        <v>VT04093</v>
      </c>
      <c r="E40" t="str">
        <v>Baruna</v>
      </c>
      <c r="F40" t="str">
        <v>Ogale</v>
      </c>
      <c r="G40" t="str">
        <v>Female</v>
      </c>
      <c r="H40" t="str">
        <v>Training</v>
      </c>
      <c r="I40">
        <v>116767.63</v>
      </c>
    </row>
    <row r="41" spans="4:9" x14ac:dyDescent="0.25">
      <c r="D41" t="str">
        <v>SQ02624</v>
      </c>
      <c r="E41" t="str">
        <v>Gwenneth</v>
      </c>
      <c r="F41" t="str">
        <v>Fealey</v>
      </c>
      <c r="G41" t="str">
        <v>Female</v>
      </c>
      <c r="H41" t="str">
        <v>Engineering</v>
      </c>
      <c r="I41">
        <v>114772.32</v>
      </c>
    </row>
    <row r="42" spans="4:9" x14ac:dyDescent="0.25">
      <c r="D42" t="str">
        <v>TN01281</v>
      </c>
      <c r="E42" t="str">
        <v>Cletus</v>
      </c>
      <c r="F42" t="str">
        <v>McGarahan</v>
      </c>
      <c r="G42" t="str">
        <v>Female</v>
      </c>
      <c r="H42" t="str">
        <v>Engineering</v>
      </c>
      <c r="I42">
        <v>114425.19</v>
      </c>
    </row>
    <row r="43" spans="4:9" x14ac:dyDescent="0.25">
      <c r="D43" t="str">
        <v>PR00746</v>
      </c>
      <c r="E43" t="str">
        <v>Hogan</v>
      </c>
      <c r="F43" t="str">
        <v>Iles</v>
      </c>
      <c r="G43" t="str">
        <v>Female</v>
      </c>
      <c r="H43" t="str">
        <v>Accounting</v>
      </c>
      <c r="I43">
        <v>114177.23</v>
      </c>
    </row>
    <row r="44" spans="4:9" x14ac:dyDescent="0.25">
      <c r="D44" t="str">
        <v>SQ00498</v>
      </c>
      <c r="E44" t="str">
        <v>Amery</v>
      </c>
      <c r="F44" t="str">
        <v>Ofer</v>
      </c>
      <c r="G44" t="str">
        <v>Female</v>
      </c>
      <c r="H44" t="str">
        <v>Legal</v>
      </c>
      <c r="I44">
        <v>111049.84</v>
      </c>
    </row>
    <row r="45" spans="4:9" x14ac:dyDescent="0.25">
      <c r="D45" t="str">
        <v>VT04681</v>
      </c>
      <c r="E45" t="str">
        <v>Nickolai</v>
      </c>
      <c r="F45" t="str">
        <v>Artin</v>
      </c>
      <c r="G45" t="str">
        <v>Female</v>
      </c>
      <c r="H45" t="str">
        <v>Product Management</v>
      </c>
      <c r="I45">
        <v>110906.35</v>
      </c>
    </row>
    <row r="46" spans="4:9" x14ac:dyDescent="0.25">
      <c r="D46" t="str">
        <v>TN00579</v>
      </c>
      <c r="E46" t="str">
        <v>Rafaelita</v>
      </c>
      <c r="F46" t="str">
        <v>Blaksland</v>
      </c>
      <c r="G46" t="str">
        <v>Female</v>
      </c>
      <c r="H46" t="str">
        <v>Services</v>
      </c>
      <c r="I46">
        <v>109163.39</v>
      </c>
    </row>
    <row r="47" spans="4:9" x14ac:dyDescent="0.25">
      <c r="D47" t="str">
        <v>VT04552</v>
      </c>
      <c r="E47" t="str">
        <v>Theresita</v>
      </c>
      <c r="F47" t="str">
        <v>Chasmer</v>
      </c>
      <c r="G47" t="str">
        <v>Female</v>
      </c>
      <c r="H47" t="str">
        <v>Product Management</v>
      </c>
      <c r="I47">
        <v>106665.67</v>
      </c>
    </row>
    <row r="48" spans="4:9" x14ac:dyDescent="0.25">
      <c r="D48" t="str">
        <v>SQ02703</v>
      </c>
      <c r="E48" t="str">
        <v>Deepit</v>
      </c>
      <c r="F48" t="str">
        <v>Ranjana</v>
      </c>
      <c r="G48" t="str">
        <v>Female</v>
      </c>
      <c r="H48" t="str">
        <v>Marketing</v>
      </c>
      <c r="I48">
        <v>104903.79</v>
      </c>
    </row>
    <row r="49" spans="4:9" x14ac:dyDescent="0.25">
      <c r="D49" t="str">
        <v>TN04740</v>
      </c>
      <c r="E49" t="str">
        <v>Tristam</v>
      </c>
      <c r="F49" t="str">
        <v>Cuming</v>
      </c>
      <c r="G49" t="str">
        <v>Female</v>
      </c>
      <c r="H49" t="str">
        <v>Support</v>
      </c>
      <c r="I49">
        <v>104038.9</v>
      </c>
    </row>
    <row r="50" spans="4:9" x14ac:dyDescent="0.25">
      <c r="D50" t="str">
        <v>PR02208</v>
      </c>
      <c r="E50" t="str">
        <v>Gowri</v>
      </c>
      <c r="F50" t="str">
        <v>Sankar</v>
      </c>
      <c r="G50" t="str">
        <v>Female</v>
      </c>
      <c r="H50" t="str">
        <v>Training</v>
      </c>
      <c r="I50">
        <v>102934.09</v>
      </c>
    </row>
    <row r="51" spans="4:9" x14ac:dyDescent="0.25">
      <c r="D51" t="str">
        <v>SQ03491</v>
      </c>
      <c r="E51" t="str">
        <v>Freda</v>
      </c>
      <c r="F51" t="str">
        <v>Legan</v>
      </c>
      <c r="G51" t="str">
        <v>Female</v>
      </c>
      <c r="H51" t="str">
        <v>Sales</v>
      </c>
      <c r="I51">
        <v>102129.37</v>
      </c>
    </row>
    <row r="52" spans="4:9" x14ac:dyDescent="0.25">
      <c r="D52" t="str">
        <v>VT01684</v>
      </c>
      <c r="E52" t="str">
        <v>Audry</v>
      </c>
      <c r="F52" t="str">
        <v>Yu</v>
      </c>
      <c r="G52" t="str">
        <v>Female</v>
      </c>
      <c r="H52" t="str">
        <v>Training</v>
      </c>
      <c r="I52">
        <v>101187.36</v>
      </c>
    </row>
    <row r="53" spans="4:9" x14ac:dyDescent="0.25">
      <c r="D53" t="str">
        <v>SQ03387</v>
      </c>
      <c r="E53" t="str">
        <v>Robinia</v>
      </c>
      <c r="F53" t="str">
        <v>Scholling</v>
      </c>
      <c r="G53" t="str">
        <v>Female</v>
      </c>
      <c r="H53" t="str">
        <v>Human Resources</v>
      </c>
      <c r="I53">
        <v>100731.95</v>
      </c>
    </row>
    <row r="54" spans="4:9" x14ac:dyDescent="0.25">
      <c r="D54" t="str">
        <v>TN04246</v>
      </c>
      <c r="E54" t="str">
        <v>Shaylyn</v>
      </c>
      <c r="F54" t="str">
        <v>Ransbury</v>
      </c>
      <c r="G54" t="str">
        <v>Female</v>
      </c>
      <c r="H54" t="str">
        <v>Support</v>
      </c>
      <c r="I54">
        <v>100371.31</v>
      </c>
    </row>
  </sheetData>
  <mergeCells count="3">
    <mergeCell ref="E3:J3"/>
    <mergeCell ref="S3:AC3"/>
    <mergeCell ref="D32:P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7C91-5D88-4A86-A077-5AD822457DFE}">
  <sheetPr>
    <tabColor theme="7" tint="-0.249977111117893"/>
  </sheetPr>
  <dimension ref="A2:AI268"/>
  <sheetViews>
    <sheetView topLeftCell="A10" zoomScale="79" workbookViewId="0">
      <selection activeCell="F26" sqref="F26"/>
    </sheetView>
  </sheetViews>
  <sheetFormatPr defaultRowHeight="15" x14ac:dyDescent="0.25"/>
  <cols>
    <col min="2" max="2" width="18" customWidth="1"/>
    <col min="3" max="3" width="14.85546875" customWidth="1"/>
    <col min="4" max="5" width="15.28515625" customWidth="1"/>
    <col min="6" max="6" width="16.42578125" customWidth="1"/>
    <col min="7" max="7" width="14.28515625" bestFit="1" customWidth="1"/>
    <col min="8" max="8" width="18.5703125" customWidth="1"/>
    <col min="9" max="9" width="3.42578125" bestFit="1" customWidth="1"/>
    <col min="15" max="15" width="11.7109375" bestFit="1" customWidth="1"/>
    <col min="16" max="16" width="15.5703125" bestFit="1" customWidth="1"/>
    <col min="17" max="17" width="16.28515625" bestFit="1" customWidth="1"/>
    <col min="18" max="18" width="15.85546875" bestFit="1" customWidth="1"/>
    <col min="19" max="19" width="29" bestFit="1" customWidth="1"/>
    <col min="20" max="20" width="14.140625" bestFit="1" customWidth="1"/>
    <col min="21" max="21" width="15.28515625" bestFit="1" customWidth="1"/>
    <col min="22" max="22" width="12" bestFit="1" customWidth="1"/>
    <col min="23" max="23" width="5.85546875" bestFit="1" customWidth="1"/>
    <col min="24" max="24" width="16.28515625" bestFit="1" customWidth="1"/>
    <col min="25" max="25" width="26.85546875" bestFit="1" customWidth="1"/>
    <col min="26" max="26" width="16.85546875" bestFit="1" customWidth="1"/>
    <col min="27" max="27" width="12.7109375" bestFit="1" customWidth="1"/>
    <col min="32" max="32" width="12.85546875" bestFit="1" customWidth="1"/>
  </cols>
  <sheetData>
    <row r="2" spans="1:34" x14ac:dyDescent="0.25">
      <c r="A2" s="67" t="s">
        <v>788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6" spans="1:34" x14ac:dyDescent="0.25">
      <c r="E6" t="s">
        <v>798</v>
      </c>
    </row>
    <row r="7" spans="1:34" x14ac:dyDescent="0.25">
      <c r="C7" s="47" t="s">
        <v>792</v>
      </c>
      <c r="D7" s="47" t="s">
        <v>15</v>
      </c>
      <c r="E7" s="47" t="s">
        <v>15</v>
      </c>
      <c r="F7" s="47" t="s">
        <v>24</v>
      </c>
      <c r="G7" s="54" t="s">
        <v>24</v>
      </c>
      <c r="O7">
        <v>1</v>
      </c>
      <c r="P7">
        <v>2</v>
      </c>
      <c r="Q7">
        <v>3</v>
      </c>
      <c r="R7">
        <v>4</v>
      </c>
      <c r="S7">
        <v>5</v>
      </c>
      <c r="T7">
        <v>6</v>
      </c>
      <c r="U7">
        <v>7</v>
      </c>
      <c r="V7">
        <v>8</v>
      </c>
      <c r="W7">
        <v>9</v>
      </c>
      <c r="X7">
        <v>10</v>
      </c>
      <c r="Y7">
        <v>11</v>
      </c>
      <c r="Z7">
        <v>12</v>
      </c>
      <c r="AA7">
        <v>13</v>
      </c>
    </row>
    <row r="8" spans="1:34" x14ac:dyDescent="0.25">
      <c r="B8" s="37" t="s">
        <v>789</v>
      </c>
      <c r="C8" s="48">
        <f>MIN(staff[Salary])</f>
        <v>28160.79</v>
      </c>
      <c r="D8" s="48" cm="1">
        <f t="array" ref="D8">MIN(_xlfn._xlws.FILTER(staff[Salary],(staff[Gender] = D7)))</f>
        <v>28160.79</v>
      </c>
      <c r="E8" s="48">
        <f>_xlfn.MINIFS(staff[Salary],staff[Gender],E$7)</f>
        <v>28160.79</v>
      </c>
      <c r="F8" s="48" cm="1">
        <f t="array" ref="F8">MIN(_xlfn._xlws.FILTER(staff[Salary],(staff[Gender] = F7)))</f>
        <v>28305.08</v>
      </c>
      <c r="G8" s="33">
        <f>_xlfn.MINIFS(staff[Salary],staff[Gender],G$7)</f>
        <v>28305.08</v>
      </c>
      <c r="I8" cm="1">
        <f t="array" ref="I8:I17">_xlfn.SEQUENCE(10)</f>
        <v>1</v>
      </c>
      <c r="O8" t="str" cm="1">
        <f t="array" ref="O8:AA8">staff[#Headers]</f>
        <v>Emp ID</v>
      </c>
      <c r="P8" t="str">
        <v>First Name</v>
      </c>
      <c r="Q8" t="str">
        <v>Last Name</v>
      </c>
      <c r="R8" t="str">
        <v>Gender</v>
      </c>
      <c r="S8" t="str">
        <v>Department</v>
      </c>
      <c r="T8" t="str">
        <v>Salary</v>
      </c>
      <c r="U8" t="str">
        <v>Salary Bucket</v>
      </c>
      <c r="V8" t="str">
        <v>Start Date</v>
      </c>
      <c r="W8" t="str">
        <v>FTE</v>
      </c>
      <c r="X8" t="str">
        <v>Employee type</v>
      </c>
      <c r="Y8" t="str">
        <v>Work location</v>
      </c>
      <c r="Z8" t="str">
        <v>Tenure</v>
      </c>
      <c r="AA8" t="str">
        <v>Work Type</v>
      </c>
    </row>
    <row r="9" spans="1:34" x14ac:dyDescent="0.25">
      <c r="B9" s="37" t="s">
        <v>790</v>
      </c>
      <c r="C9" s="48">
        <f>MAX(staff[Salary])</f>
        <v>120000</v>
      </c>
      <c r="D9" s="48" cm="1">
        <f t="array" ref="D9">MAX(_xlfn._xlws.FILTER(staff[Salary],staff[Gender]=D7))</f>
        <v>120000</v>
      </c>
      <c r="E9" s="48">
        <f>_xlfn.MAXIFS(staff[Salary],staff[Gender],E$7)</f>
        <v>120000</v>
      </c>
      <c r="F9" s="48" cm="1">
        <f t="array" ref="F9">MAX(_xlfn._xlws.FILTER(staff[Salary],staff[Gender]=F7))</f>
        <v>120000</v>
      </c>
      <c r="G9" s="33">
        <f>_xlfn.MAXIFS(staff[Salary],staff[Gender],G$7)</f>
        <v>120000</v>
      </c>
      <c r="I9">
        <v>2</v>
      </c>
      <c r="O9" t="str" cm="1">
        <f t="array" ref="O9:AA268">staff[]</f>
        <v>PR00147</v>
      </c>
      <c r="P9" t="str">
        <v>Minerva</v>
      </c>
      <c r="Q9" t="str">
        <v>Ricardot</v>
      </c>
      <c r="R9" t="str">
        <v>Male</v>
      </c>
      <c r="S9" t="str">
        <v>Engineering</v>
      </c>
      <c r="T9">
        <v>120000</v>
      </c>
      <c r="U9" t="str">
        <v>Above 100k</v>
      </c>
      <c r="V9">
        <v>43416</v>
      </c>
      <c r="W9">
        <v>1</v>
      </c>
      <c r="X9" t="str">
        <v>Permanent</v>
      </c>
      <c r="Y9" t="str">
        <v>Remote</v>
      </c>
      <c r="Z9">
        <v>5.6109589041095891</v>
      </c>
      <c r="AA9" t="str">
        <v>Full time</v>
      </c>
    </row>
    <row r="10" spans="1:34" x14ac:dyDescent="0.25">
      <c r="B10" s="37" t="s">
        <v>794</v>
      </c>
      <c r="C10" s="48">
        <f>LARGE(staff[Salary],I8)</f>
        <v>120000</v>
      </c>
      <c r="D10" s="48" cm="1">
        <f t="array" ref="D10">LARGE(_xlfn._xlws.FILTER(staff[Salary],staff[Gender]=$D$7),I8)</f>
        <v>120000</v>
      </c>
      <c r="E10" s="48"/>
      <c r="F10" s="48" cm="1">
        <f t="array" ref="F10">LARGE(_xlfn._xlws.FILTER(staff[Salary],staff[Gender]=$F$7),I8)</f>
        <v>120000</v>
      </c>
      <c r="G10" s="33"/>
      <c r="I10">
        <v>3</v>
      </c>
      <c r="O10" t="str">
        <v>SQ04612</v>
      </c>
      <c r="P10" t="str">
        <v>Mick</v>
      </c>
      <c r="Q10" t="str">
        <v>Spraberry</v>
      </c>
      <c r="R10" t="str">
        <v>Female</v>
      </c>
      <c r="S10" t="str">
        <v>Services</v>
      </c>
      <c r="T10">
        <v>120000</v>
      </c>
      <c r="U10" t="str">
        <v>Above 100k</v>
      </c>
      <c r="V10">
        <v>43902</v>
      </c>
      <c r="W10">
        <v>0.9</v>
      </c>
      <c r="X10" t="str">
        <v>Permanent</v>
      </c>
      <c r="Y10" t="str">
        <v>Remote</v>
      </c>
      <c r="Z10">
        <v>4.279452054794521</v>
      </c>
      <c r="AA10" t="str">
        <v>Part time</v>
      </c>
    </row>
    <row r="11" spans="1:34" x14ac:dyDescent="0.25">
      <c r="C11" s="48">
        <f>LARGE(staff[Salary],I9)</f>
        <v>120000</v>
      </c>
      <c r="D11" s="48" cm="1">
        <f t="array" ref="D11">LARGE(_xlfn._xlws.FILTER(staff[Salary],staff[Gender]=$D$7),I9)</f>
        <v>119022.49</v>
      </c>
      <c r="E11" s="48"/>
      <c r="F11" s="48" cm="1">
        <f t="array" ref="F11">LARGE(_xlfn._xlws.FILTER(staff[Salary],staff[Gender]=$F$7),I9)</f>
        <v>118442.54</v>
      </c>
      <c r="G11" s="33"/>
      <c r="I11">
        <v>4</v>
      </c>
      <c r="O11" t="str">
        <v>PR03886</v>
      </c>
      <c r="P11" t="str">
        <v>Edd</v>
      </c>
      <c r="Q11" t="str">
        <v>MacKnockiter</v>
      </c>
      <c r="R11" t="str">
        <v>Male</v>
      </c>
      <c r="S11" t="str">
        <v>Accounting</v>
      </c>
      <c r="T11">
        <v>119022.49</v>
      </c>
      <c r="U11" t="str">
        <v>Above 100k</v>
      </c>
      <c r="V11">
        <v>44431</v>
      </c>
      <c r="W11">
        <v>1</v>
      </c>
      <c r="X11" t="str">
        <v>Permanent</v>
      </c>
      <c r="Y11" t="str">
        <v>Auckland, New Zealand</v>
      </c>
      <c r="Z11">
        <v>2.8301369863013699</v>
      </c>
      <c r="AA11" t="str">
        <v>Full time</v>
      </c>
    </row>
    <row r="12" spans="1:34" x14ac:dyDescent="0.25">
      <c r="C12" s="48">
        <f>LARGE(staff[Salary],I10)</f>
        <v>119022.49</v>
      </c>
      <c r="D12" s="48" cm="1">
        <f t="array" ref="D12">LARGE(_xlfn._xlws.FILTER(staff[Salary],staff[Gender]=$D$7),I10)</f>
        <v>118976.16</v>
      </c>
      <c r="E12" s="48"/>
      <c r="F12" s="48" cm="1">
        <f t="array" ref="F12">LARGE(_xlfn._xlws.FILTER(staff[Salary],staff[Gender]=$F$7),I10)</f>
        <v>116767.63</v>
      </c>
      <c r="G12" s="33"/>
      <c r="I12">
        <v>5</v>
      </c>
      <c r="O12" t="str">
        <v>SQ00144</v>
      </c>
      <c r="P12" t="str">
        <v>Collen</v>
      </c>
      <c r="Q12" t="str">
        <v>Dunbleton</v>
      </c>
      <c r="R12" t="str">
        <v>Male</v>
      </c>
      <c r="S12" t="str">
        <v>Engineering</v>
      </c>
      <c r="T12">
        <v>118976.16</v>
      </c>
      <c r="U12" t="str">
        <v>Above 100k</v>
      </c>
      <c r="V12">
        <v>44120</v>
      </c>
      <c r="W12">
        <v>1</v>
      </c>
      <c r="X12" t="str">
        <v>Permanent</v>
      </c>
      <c r="Y12" t="str">
        <v>Wellington, New Zealand</v>
      </c>
      <c r="Z12">
        <v>3.6821917808219178</v>
      </c>
      <c r="AA12" t="str">
        <v>Full time</v>
      </c>
    </row>
    <row r="13" spans="1:34" x14ac:dyDescent="0.25">
      <c r="C13" s="48">
        <f>LARGE(staff[Salary],I11)</f>
        <v>118976.16</v>
      </c>
      <c r="D13" s="48" cm="1">
        <f t="array" ref="D13">LARGE(_xlfn._xlws.FILTER(staff[Salary],staff[Gender]=$D$7),I11)</f>
        <v>115191.38</v>
      </c>
      <c r="E13" s="48"/>
      <c r="F13" s="48" cm="1">
        <f t="array" ref="F13">LARGE(_xlfn._xlws.FILTER(staff[Salary],staff[Gender]=$F$7),I11)</f>
        <v>116767.63</v>
      </c>
      <c r="G13" s="33"/>
      <c r="I13">
        <v>6</v>
      </c>
      <c r="O13" t="str">
        <v>SQ02174</v>
      </c>
      <c r="P13" t="str">
        <v>Sidoney</v>
      </c>
      <c r="Q13" t="str">
        <v>Yitzhok</v>
      </c>
      <c r="R13" t="str">
        <v>Female</v>
      </c>
      <c r="S13" t="str">
        <v>Engineering</v>
      </c>
      <c r="T13">
        <v>118442.54</v>
      </c>
      <c r="U13" t="str">
        <v>Above 100k</v>
      </c>
      <c r="V13">
        <v>44193</v>
      </c>
      <c r="W13">
        <v>1</v>
      </c>
      <c r="X13" t="str">
        <v>Permanent</v>
      </c>
      <c r="Y13" t="str">
        <v>Auckland, New Zealand</v>
      </c>
      <c r="Z13">
        <v>3.4821917808219176</v>
      </c>
      <c r="AA13" t="str">
        <v>Full time</v>
      </c>
      <c r="AE13" t="s">
        <v>3</v>
      </c>
      <c r="AF13" t="s">
        <v>24</v>
      </c>
      <c r="AG13" t="s">
        <v>799</v>
      </c>
      <c r="AH13">
        <v>8</v>
      </c>
    </row>
    <row r="14" spans="1:34" x14ac:dyDescent="0.25">
      <c r="C14" s="48">
        <f>LARGE(staff[Salary],I12)</f>
        <v>118442.54</v>
      </c>
      <c r="D14" s="48" cm="1">
        <f t="array" ref="D14">LARGE(_xlfn._xlws.FILTER(staff[Salary],staff[Gender]=$D$7),I12)</f>
        <v>114691.03</v>
      </c>
      <c r="E14" s="48"/>
      <c r="F14" s="48" cm="1">
        <f t="array" ref="F14">LARGE(_xlfn._xlws.FILTER(staff[Salary],staff[Gender]=$F$7),I12)</f>
        <v>114772.32</v>
      </c>
      <c r="G14" s="33"/>
      <c r="I14">
        <v>7</v>
      </c>
      <c r="O14" t="str">
        <v>VT04093</v>
      </c>
      <c r="P14" t="str">
        <v>Prasanna</v>
      </c>
      <c r="Q14" t="str">
        <v>Lakshmi</v>
      </c>
      <c r="R14" t="str">
        <v>Female</v>
      </c>
      <c r="S14" t="str">
        <v>Training</v>
      </c>
      <c r="T14">
        <v>116767.63</v>
      </c>
      <c r="U14" t="str">
        <v>Above 100k</v>
      </c>
      <c r="V14">
        <v>43949</v>
      </c>
      <c r="W14">
        <v>0.4</v>
      </c>
      <c r="X14" t="str">
        <v>Temporary</v>
      </c>
      <c r="Y14" t="str">
        <v>Chennai, India</v>
      </c>
      <c r="Z14">
        <v>4.1506849315068495</v>
      </c>
      <c r="AA14" t="str">
        <v>Part time</v>
      </c>
    </row>
    <row r="15" spans="1:34" x14ac:dyDescent="0.25">
      <c r="C15" s="48">
        <f>LARGE(staff[Salary],I13)</f>
        <v>116767.63</v>
      </c>
      <c r="D15" s="48" cm="1">
        <f t="array" ref="D15">LARGE(_xlfn._xlws.FILTER(staff[Salary],staff[Gender]=$D$7),I13)</f>
        <v>114465.93</v>
      </c>
      <c r="E15" s="48"/>
      <c r="F15" s="48" cm="1">
        <f t="array" ref="F15">LARGE(_xlfn._xlws.FILTER(staff[Salary],staff[Gender]=$F$7),I13)</f>
        <v>114425.19</v>
      </c>
      <c r="G15" s="33"/>
      <c r="I15">
        <v>8</v>
      </c>
      <c r="O15" t="str">
        <v>VT04093</v>
      </c>
      <c r="P15" t="str">
        <v>Baruna</v>
      </c>
      <c r="Q15" t="str">
        <v>Ogale</v>
      </c>
      <c r="R15" t="str">
        <v>Female</v>
      </c>
      <c r="S15" t="str">
        <v>Training</v>
      </c>
      <c r="T15">
        <v>116767.63</v>
      </c>
      <c r="U15" t="str">
        <v>Above 100k</v>
      </c>
      <c r="V15">
        <v>43949</v>
      </c>
      <c r="W15">
        <v>0.4</v>
      </c>
      <c r="X15" t="str">
        <v>Temporary</v>
      </c>
      <c r="Y15" t="str">
        <v>Chennai, India</v>
      </c>
      <c r="Z15">
        <v>4.1506849315068495</v>
      </c>
      <c r="AA15" t="str">
        <v>Part time</v>
      </c>
      <c r="AF15" s="33" cm="1">
        <f t="array" ref="AF15:AF22">_xlfn.TAKE(_xlfn._xlws.SORT(_xlfn._xlws.FILTER(T9:T268,R9:R268=AF13),,-1),AH13)</f>
        <v>120000</v>
      </c>
    </row>
    <row r="16" spans="1:34" x14ac:dyDescent="0.25">
      <c r="C16" s="48">
        <f>LARGE(staff[Salary],I14)</f>
        <v>116767.63</v>
      </c>
      <c r="D16" s="48" cm="1">
        <f t="array" ref="D16">LARGE(_xlfn._xlws.FILTER(staff[Salary],staff[Gender]=$D$7),I14)</f>
        <v>113747.56</v>
      </c>
      <c r="E16" s="48"/>
      <c r="F16" s="48" cm="1">
        <f t="array" ref="F16">LARGE(_xlfn._xlws.FILTER(staff[Salary],staff[Gender]=$F$7),I14)</f>
        <v>114177.23</v>
      </c>
      <c r="G16" s="33"/>
      <c r="I16">
        <v>9</v>
      </c>
      <c r="O16" t="str">
        <v>PR02010</v>
      </c>
      <c r="P16" t="str">
        <v>Prerana</v>
      </c>
      <c r="Q16" t="str">
        <v>Nishita</v>
      </c>
      <c r="R16" t="str">
        <v>Male</v>
      </c>
      <c r="S16" t="str">
        <v>Product Management</v>
      </c>
      <c r="T16">
        <v>115191.38</v>
      </c>
      <c r="U16" t="str">
        <v>Above 100k</v>
      </c>
      <c r="V16">
        <v>44004</v>
      </c>
      <c r="W16">
        <v>1</v>
      </c>
      <c r="X16" t="str">
        <v>Permanent</v>
      </c>
      <c r="Y16" t="str">
        <v>Hyderabad, India</v>
      </c>
      <c r="Z16">
        <v>4</v>
      </c>
      <c r="AA16" t="str">
        <v>Full time</v>
      </c>
      <c r="AF16" s="33">
        <v>118442.54</v>
      </c>
    </row>
    <row r="17" spans="2:35" x14ac:dyDescent="0.25">
      <c r="C17" s="48">
        <f>LARGE(staff[Salary],I15)</f>
        <v>115191.38</v>
      </c>
      <c r="D17" s="48" cm="1">
        <f t="array" ref="D17">LARGE(_xlfn._xlws.FILTER(staff[Salary],staff[Gender]=$D$7),I15)</f>
        <v>113747.56</v>
      </c>
      <c r="E17" s="48"/>
      <c r="F17" s="48" cm="1">
        <f t="array" ref="F17">LARGE(_xlfn._xlws.FILTER(staff[Salary],staff[Gender]=$F$7),I15)</f>
        <v>111049.84</v>
      </c>
      <c r="G17" s="33"/>
      <c r="I17">
        <v>10</v>
      </c>
      <c r="O17" t="str">
        <v>SQ02624</v>
      </c>
      <c r="P17" t="str">
        <v>Gwenneth</v>
      </c>
      <c r="Q17" t="str">
        <v>Fealey</v>
      </c>
      <c r="R17" t="str">
        <v>Female</v>
      </c>
      <c r="S17" t="str">
        <v>Engineering</v>
      </c>
      <c r="T17">
        <v>114772.32</v>
      </c>
      <c r="U17" t="str">
        <v>Above 100k</v>
      </c>
      <c r="V17">
        <v>44251</v>
      </c>
      <c r="W17">
        <v>1</v>
      </c>
      <c r="X17" t="str">
        <v>Permanent</v>
      </c>
      <c r="Y17" t="str">
        <v>Columbus, USA</v>
      </c>
      <c r="Z17">
        <v>3.3232876712328765</v>
      </c>
      <c r="AA17" t="str">
        <v>Full time</v>
      </c>
      <c r="AF17" s="33">
        <v>116767.63</v>
      </c>
    </row>
    <row r="18" spans="2:35" x14ac:dyDescent="0.25">
      <c r="C18" s="48">
        <f>LARGE(staff[Salary],I16)</f>
        <v>114772.32</v>
      </c>
      <c r="D18" s="48" cm="1">
        <f t="array" ref="D18">LARGE(_xlfn._xlws.FILTER(staff[Salary],staff[Gender]=$D$7),I16)</f>
        <v>113616.23</v>
      </c>
      <c r="E18" s="48"/>
      <c r="F18" s="48" cm="1">
        <f t="array" ref="F18">LARGE(_xlfn._xlws.FILTER(staff[Salary],staff[Gender]=$F$7),I16)</f>
        <v>110906.35</v>
      </c>
      <c r="G18" s="33"/>
      <c r="O18" t="str">
        <v>VT02801</v>
      </c>
      <c r="P18" t="str">
        <v>Shellysheldon</v>
      </c>
      <c r="Q18" t="str">
        <v>Mahady</v>
      </c>
      <c r="R18" t="str">
        <v>Male</v>
      </c>
      <c r="S18" t="str">
        <v>Training</v>
      </c>
      <c r="T18">
        <v>114691.03</v>
      </c>
      <c r="U18" t="str">
        <v>Above 100k</v>
      </c>
      <c r="V18">
        <v>44039</v>
      </c>
      <c r="W18">
        <v>1</v>
      </c>
      <c r="X18" t="str">
        <v>Temporary</v>
      </c>
      <c r="Y18" t="str">
        <v>Wellington, New Zealand</v>
      </c>
      <c r="Z18">
        <v>3.904109589041096</v>
      </c>
      <c r="AA18" t="str">
        <v>Full time</v>
      </c>
      <c r="AF18" s="33">
        <v>116767.63</v>
      </c>
    </row>
    <row r="19" spans="2:35" x14ac:dyDescent="0.25">
      <c r="C19" s="48">
        <f>LARGE(staff[Salary],I17)</f>
        <v>114691.03</v>
      </c>
      <c r="D19" s="48" cm="1">
        <f t="array" ref="D19">LARGE(_xlfn._xlws.FILTER(staff[Salary],staff[Gender]=$D$7),I17)</f>
        <v>112778.28</v>
      </c>
      <c r="E19" s="48"/>
      <c r="F19" s="48" cm="1">
        <f t="array" ref="F19">LARGE(_xlfn._xlws.FILTER(staff[Salary],staff[Gender]=$F$7),I17)</f>
        <v>109163.39</v>
      </c>
      <c r="G19" s="33"/>
      <c r="O19" t="str">
        <v>VT02491</v>
      </c>
      <c r="P19" t="str">
        <v>Alexis</v>
      </c>
      <c r="Q19" t="str">
        <v>Gotfrey</v>
      </c>
      <c r="R19" t="str">
        <v>Male</v>
      </c>
      <c r="S19" t="str">
        <v>Engineering</v>
      </c>
      <c r="T19">
        <v>114465.93</v>
      </c>
      <c r="U19" t="str">
        <v>Above 100k</v>
      </c>
      <c r="V19">
        <v>43291</v>
      </c>
      <c r="W19">
        <v>1</v>
      </c>
      <c r="X19" t="str">
        <v>Temporary</v>
      </c>
      <c r="Y19" t="str">
        <v>Wellington, New Zealand</v>
      </c>
      <c r="Z19">
        <v>5.9534246575342467</v>
      </c>
      <c r="AA19" t="str">
        <v>Full time</v>
      </c>
      <c r="AF19" s="33">
        <v>114772.32</v>
      </c>
    </row>
    <row r="20" spans="2:35" x14ac:dyDescent="0.25">
      <c r="O20" t="str">
        <v>TN01281</v>
      </c>
      <c r="P20" t="str">
        <v>Cletus</v>
      </c>
      <c r="Q20" t="str">
        <v>McGarahan</v>
      </c>
      <c r="R20" t="str">
        <v>Female</v>
      </c>
      <c r="S20" t="str">
        <v>Engineering</v>
      </c>
      <c r="T20">
        <v>114425.19</v>
      </c>
      <c r="U20" t="str">
        <v>Above 100k</v>
      </c>
      <c r="V20">
        <v>43857</v>
      </c>
      <c r="W20">
        <v>1</v>
      </c>
      <c r="X20" t="str">
        <v>Permanent</v>
      </c>
      <c r="Y20" t="str">
        <v>Wellington, New Zealand</v>
      </c>
      <c r="Z20">
        <v>4.4027397260273968</v>
      </c>
      <c r="AA20" t="str">
        <v>Full time</v>
      </c>
      <c r="AF20" s="33">
        <v>114425.19</v>
      </c>
    </row>
    <row r="21" spans="2:35" x14ac:dyDescent="0.25">
      <c r="O21" t="str">
        <v>PR00746</v>
      </c>
      <c r="P21" t="str">
        <v>Hogan</v>
      </c>
      <c r="Q21" t="str">
        <v>Iles</v>
      </c>
      <c r="R21" t="str">
        <v>Female</v>
      </c>
      <c r="S21" t="str">
        <v>Accounting</v>
      </c>
      <c r="T21">
        <v>114177.23</v>
      </c>
      <c r="U21" t="str">
        <v>Above 100k</v>
      </c>
      <c r="V21">
        <v>43908</v>
      </c>
      <c r="W21">
        <v>1</v>
      </c>
      <c r="X21" t="str">
        <v>Permanent</v>
      </c>
      <c r="Y21" t="str">
        <v>Wellington, New Zealand</v>
      </c>
      <c r="Z21">
        <v>4.2630136986301368</v>
      </c>
      <c r="AA21" t="str">
        <v>Full time</v>
      </c>
      <c r="AF21" s="33">
        <v>114177.23</v>
      </c>
    </row>
    <row r="22" spans="2:35" x14ac:dyDescent="0.25">
      <c r="F22" t="s">
        <v>24</v>
      </c>
      <c r="G22" t="s">
        <v>15</v>
      </c>
      <c r="O22" t="str">
        <v>VT03421</v>
      </c>
      <c r="P22" t="str">
        <v>Alic</v>
      </c>
      <c r="Q22" t="str">
        <v>Bagg</v>
      </c>
      <c r="R22" t="str">
        <v>Male</v>
      </c>
      <c r="S22" t="str">
        <v>Legal</v>
      </c>
      <c r="T22">
        <v>113747.56</v>
      </c>
      <c r="U22" t="str">
        <v>Above 100k</v>
      </c>
      <c r="V22">
        <v>44270</v>
      </c>
      <c r="W22">
        <v>0.7</v>
      </c>
      <c r="X22" t="str">
        <v>Temporary</v>
      </c>
      <c r="Y22" t="str">
        <v>Columbus, USA</v>
      </c>
      <c r="Z22">
        <v>3.2712328767123289</v>
      </c>
      <c r="AA22" t="str">
        <v>Part time</v>
      </c>
      <c r="AF22" s="33">
        <v>111049.84</v>
      </c>
    </row>
    <row r="23" spans="2:35" x14ac:dyDescent="0.25">
      <c r="B23" s="49" t="s">
        <v>791</v>
      </c>
      <c r="C23" s="51" cm="1">
        <f t="array" ref="C23:C32">_xlfn.TAKE(_xlfn._xlws.SORT(staff[Salary],,-1),J23)</f>
        <v>120000</v>
      </c>
      <c r="D23" s="51" cm="1">
        <f t="array" ref="D23:D32">_xlfn.TAKE(_xlfn._xlws.SORT(_xlfn._xlws.FILTER(staff[Salary],staff[Gender]=G22),,-1),J23)</f>
        <v>120000</v>
      </c>
      <c r="E23" s="51"/>
      <c r="F23" s="51" cm="1">
        <f t="array" ref="F23:F32">_xlfn.TAKE(_xlfn._xlws.SORT(_xlfn._xlws.FILTER(staff[Salary],staff[Gender]=F22),,-1),J23)</f>
        <v>120000</v>
      </c>
      <c r="J23">
        <v>10</v>
      </c>
      <c r="O23" t="str">
        <v>VT03421</v>
      </c>
      <c r="P23" t="str">
        <v>Alic</v>
      </c>
      <c r="Q23" t="str">
        <v>Bagg</v>
      </c>
      <c r="R23" t="str">
        <v>Male</v>
      </c>
      <c r="S23" t="str">
        <v>Legal</v>
      </c>
      <c r="T23">
        <v>113747.56</v>
      </c>
      <c r="U23" t="str">
        <v>Above 100k</v>
      </c>
      <c r="V23">
        <v>44270</v>
      </c>
      <c r="W23">
        <v>0.7</v>
      </c>
      <c r="X23" t="str">
        <v>Temporary</v>
      </c>
      <c r="Y23" t="str">
        <v>Columbus, USA</v>
      </c>
      <c r="Z23">
        <v>3.2712328767123289</v>
      </c>
      <c r="AA23" t="str">
        <v>Part time</v>
      </c>
      <c r="AF23" s="33"/>
    </row>
    <row r="24" spans="2:35" x14ac:dyDescent="0.25">
      <c r="B24" s="50" t="s">
        <v>793</v>
      </c>
      <c r="C24" s="51">
        <v>120000</v>
      </c>
      <c r="D24" s="51">
        <v>119022.49</v>
      </c>
      <c r="E24" s="51"/>
      <c r="F24" s="51">
        <v>118442.54</v>
      </c>
      <c r="O24" t="str">
        <v>SQ01620</v>
      </c>
      <c r="P24" t="str">
        <v>Westbrook</v>
      </c>
      <c r="Q24" t="str">
        <v>Brandino</v>
      </c>
      <c r="R24" t="str">
        <v>Male</v>
      </c>
      <c r="S24" t="str">
        <v>Legal</v>
      </c>
      <c r="T24">
        <v>113616.23</v>
      </c>
      <c r="U24" t="str">
        <v>Above 100k</v>
      </c>
      <c r="V24">
        <v>43255</v>
      </c>
      <c r="W24">
        <v>1</v>
      </c>
      <c r="X24" t="str">
        <v>Permanent</v>
      </c>
      <c r="Y24" t="str">
        <v>Remote</v>
      </c>
      <c r="Z24">
        <v>6.0520547945205481</v>
      </c>
      <c r="AA24" t="str">
        <v>Full time</v>
      </c>
      <c r="AF24" s="33"/>
    </row>
    <row r="25" spans="2:35" x14ac:dyDescent="0.25">
      <c r="C25" s="51">
        <v>119022.49</v>
      </c>
      <c r="D25" s="51">
        <v>118976.16</v>
      </c>
      <c r="E25" s="51"/>
      <c r="F25" s="51">
        <v>116767.63</v>
      </c>
      <c r="O25" t="str">
        <v>VT01893</v>
      </c>
      <c r="P25" t="str">
        <v>Lindy</v>
      </c>
      <c r="Q25" t="str">
        <v>Guillet</v>
      </c>
      <c r="R25" t="str">
        <v>Male</v>
      </c>
      <c r="S25" t="str">
        <v>Training</v>
      </c>
      <c r="T25">
        <v>112778.28</v>
      </c>
      <c r="U25" t="str">
        <v>Above 100k</v>
      </c>
      <c r="V25">
        <v>43250</v>
      </c>
      <c r="W25">
        <v>1</v>
      </c>
      <c r="X25" t="str">
        <v>Fixed Term</v>
      </c>
      <c r="Y25" t="str">
        <v>Remote</v>
      </c>
      <c r="Z25">
        <v>6.065753424657534</v>
      </c>
      <c r="AA25" t="str">
        <v>Full time</v>
      </c>
      <c r="AF25" s="33"/>
    </row>
    <row r="26" spans="2:35" x14ac:dyDescent="0.25">
      <c r="C26" s="51">
        <v>118976.16</v>
      </c>
      <c r="D26" s="51">
        <v>115191.38</v>
      </c>
      <c r="E26" s="51"/>
      <c r="F26" s="51">
        <v>116767.63</v>
      </c>
      <c r="O26" t="str">
        <v>VT01893</v>
      </c>
      <c r="P26" t="str">
        <v>Lindy</v>
      </c>
      <c r="Q26" t="str">
        <v>Guillet</v>
      </c>
      <c r="R26" t="str">
        <v>Male</v>
      </c>
      <c r="S26" t="str">
        <v>Training</v>
      </c>
      <c r="T26">
        <v>112778.28</v>
      </c>
      <c r="U26" t="str">
        <v>Above 100k</v>
      </c>
      <c r="V26">
        <v>43250</v>
      </c>
      <c r="W26">
        <v>1</v>
      </c>
      <c r="X26" t="str">
        <v>Fixed Term</v>
      </c>
      <c r="Y26" t="str">
        <v>Remote</v>
      </c>
      <c r="Z26">
        <v>6.065753424657534</v>
      </c>
      <c r="AA26" t="str">
        <v>Full time</v>
      </c>
      <c r="AE26" t="s">
        <v>3</v>
      </c>
      <c r="AF26" s="33" t="s">
        <v>15</v>
      </c>
      <c r="AG26" t="s">
        <v>800</v>
      </c>
      <c r="AH26">
        <v>10</v>
      </c>
    </row>
    <row r="27" spans="2:35" x14ac:dyDescent="0.25">
      <c r="C27" s="51">
        <v>118442.54</v>
      </c>
      <c r="D27" s="51">
        <v>114691.03</v>
      </c>
      <c r="E27" s="51"/>
      <c r="F27" s="51">
        <v>114772.32</v>
      </c>
      <c r="O27" t="str">
        <v>PR01159</v>
      </c>
      <c r="P27" t="str">
        <v>Mollie</v>
      </c>
      <c r="Q27" t="str">
        <v>Hanway</v>
      </c>
      <c r="R27" t="str">
        <v>Male</v>
      </c>
      <c r="S27" t="str">
        <v>Engineering</v>
      </c>
      <c r="T27">
        <v>112645.99</v>
      </c>
      <c r="U27" t="str">
        <v>Above 100k</v>
      </c>
      <c r="V27">
        <v>43759</v>
      </c>
      <c r="W27">
        <v>0.6</v>
      </c>
      <c r="X27" t="str">
        <v>Permanent</v>
      </c>
      <c r="Y27" t="str">
        <v>Seattle, USA</v>
      </c>
      <c r="Z27">
        <v>4.6712328767123283</v>
      </c>
      <c r="AA27" t="str">
        <v>Part time</v>
      </c>
      <c r="AF27" s="33"/>
    </row>
    <row r="28" spans="2:35" x14ac:dyDescent="0.25">
      <c r="C28" s="51">
        <v>116767.63</v>
      </c>
      <c r="D28" s="51">
        <v>114465.93</v>
      </c>
      <c r="E28" s="51"/>
      <c r="F28" s="51">
        <v>114425.19</v>
      </c>
      <c r="O28" t="str">
        <v>VT04028</v>
      </c>
      <c r="P28" t="str">
        <v>Michale</v>
      </c>
      <c r="Q28" t="str">
        <v>Rolf</v>
      </c>
      <c r="R28" t="str">
        <v>Male</v>
      </c>
      <c r="S28" t="str">
        <v>Services</v>
      </c>
      <c r="T28">
        <v>111815.49</v>
      </c>
      <c r="U28" t="str">
        <v>Above 100k</v>
      </c>
      <c r="V28">
        <v>43895</v>
      </c>
      <c r="W28">
        <v>0.7</v>
      </c>
      <c r="X28" t="str">
        <v>Temporary</v>
      </c>
      <c r="Y28" t="str">
        <v>Remote</v>
      </c>
      <c r="Z28">
        <v>4.2986301369863016</v>
      </c>
      <c r="AA28" t="str">
        <v>Part time</v>
      </c>
      <c r="AD28" t="str" cm="1">
        <f t="array" ref="AD28:AI37">_xlfn.CHOOSECOLS(_xlfn.TAKE(_xlfn._xlws.SORT(_xlfn._xlws.FILTER(O9:AA268,R9:R268=AF26),6,-1),AH26),1,2,3,4,6,8)</f>
        <v>PR00147</v>
      </c>
      <c r="AE28" t="str">
        <v>Minerva</v>
      </c>
      <c r="AF28" s="33" t="str">
        <v>Ricardot</v>
      </c>
      <c r="AG28" t="str">
        <v>Male</v>
      </c>
      <c r="AH28">
        <v>120000</v>
      </c>
      <c r="AI28">
        <v>43416</v>
      </c>
    </row>
    <row r="29" spans="2:35" x14ac:dyDescent="0.25">
      <c r="C29" s="51">
        <v>116767.63</v>
      </c>
      <c r="D29" s="51">
        <v>113747.56</v>
      </c>
      <c r="E29" s="51"/>
      <c r="F29" s="51">
        <v>114177.23</v>
      </c>
      <c r="O29" t="str">
        <v>VT04028</v>
      </c>
      <c r="P29" t="str">
        <v>Michale</v>
      </c>
      <c r="Q29" t="str">
        <v>Rolf</v>
      </c>
      <c r="R29" t="str">
        <v>Male</v>
      </c>
      <c r="S29" t="str">
        <v>Services</v>
      </c>
      <c r="T29">
        <v>111815.49</v>
      </c>
      <c r="U29" t="str">
        <v>Above 100k</v>
      </c>
      <c r="V29">
        <v>43895</v>
      </c>
      <c r="W29">
        <v>0.7</v>
      </c>
      <c r="X29" t="str">
        <v>Temporary</v>
      </c>
      <c r="Y29" t="str">
        <v>Remote</v>
      </c>
      <c r="Z29">
        <v>4.2986301369863016</v>
      </c>
      <c r="AA29" t="str">
        <v>Part time</v>
      </c>
      <c r="AD29" t="str">
        <v>PR03886</v>
      </c>
      <c r="AE29" t="str">
        <v>Edd</v>
      </c>
      <c r="AF29" s="33" t="str">
        <v>MacKnockiter</v>
      </c>
      <c r="AG29" t="str">
        <v>Male</v>
      </c>
      <c r="AH29">
        <v>119022.49</v>
      </c>
      <c r="AI29">
        <v>44431</v>
      </c>
    </row>
    <row r="30" spans="2:35" x14ac:dyDescent="0.25">
      <c r="C30" s="51">
        <v>115191.38</v>
      </c>
      <c r="D30" s="51">
        <v>113747.56</v>
      </c>
      <c r="E30" s="51"/>
      <c r="F30" s="51">
        <v>111049.84</v>
      </c>
      <c r="O30" t="str">
        <v>SQ04603</v>
      </c>
      <c r="P30" t="str">
        <v>Natalee</v>
      </c>
      <c r="Q30" t="str">
        <v>Craiker</v>
      </c>
      <c r="R30" t="str">
        <v>Male</v>
      </c>
      <c r="S30" t="str">
        <v>Product Management</v>
      </c>
      <c r="T30">
        <v>111229.47</v>
      </c>
      <c r="U30" t="str">
        <v>Above 100k</v>
      </c>
      <c r="V30">
        <v>43402</v>
      </c>
      <c r="W30">
        <v>1</v>
      </c>
      <c r="X30" t="str">
        <v>Permanent</v>
      </c>
      <c r="Y30" t="str">
        <v>Remote</v>
      </c>
      <c r="Z30">
        <v>5.6493150684931503</v>
      </c>
      <c r="AA30" t="str">
        <v>Full time</v>
      </c>
      <c r="AD30" t="str">
        <v>SQ00144</v>
      </c>
      <c r="AE30" t="str">
        <v>Collen</v>
      </c>
      <c r="AF30" s="33" t="str">
        <v>Dunbleton</v>
      </c>
      <c r="AG30" t="str">
        <v>Male</v>
      </c>
      <c r="AH30">
        <v>118976.16</v>
      </c>
      <c r="AI30">
        <v>44120</v>
      </c>
    </row>
    <row r="31" spans="2:35" x14ac:dyDescent="0.25">
      <c r="C31" s="51">
        <v>114772.32</v>
      </c>
      <c r="D31" s="51">
        <v>113616.23</v>
      </c>
      <c r="E31" s="51"/>
      <c r="F31" s="51">
        <v>110906.35</v>
      </c>
      <c r="O31" t="str">
        <v>SQ00498</v>
      </c>
      <c r="P31" t="str">
        <v>Amery</v>
      </c>
      <c r="Q31" t="str">
        <v>Ofer</v>
      </c>
      <c r="R31" t="str">
        <v>Female</v>
      </c>
      <c r="S31" t="str">
        <v>Legal</v>
      </c>
      <c r="T31">
        <v>111049.84</v>
      </c>
      <c r="U31" t="str">
        <v>Above 100k</v>
      </c>
      <c r="V31">
        <v>44393</v>
      </c>
      <c r="W31">
        <v>1</v>
      </c>
      <c r="X31" t="str">
        <v>Permanent</v>
      </c>
      <c r="Y31" t="str">
        <v>Wellington, New Zealand</v>
      </c>
      <c r="Z31">
        <v>2.9342465753424656</v>
      </c>
      <c r="AA31" t="str">
        <v>Full time</v>
      </c>
      <c r="AD31" t="str">
        <v>PR02010</v>
      </c>
      <c r="AE31" t="str">
        <v>Prerana</v>
      </c>
      <c r="AF31" s="33" t="str">
        <v>Nishita</v>
      </c>
      <c r="AG31" t="str">
        <v>Male</v>
      </c>
      <c r="AH31">
        <v>115191.38</v>
      </c>
      <c r="AI31">
        <v>44004</v>
      </c>
    </row>
    <row r="32" spans="2:35" x14ac:dyDescent="0.25">
      <c r="C32">
        <v>114691.03</v>
      </c>
      <c r="D32" s="33">
        <v>112778.28</v>
      </c>
      <c r="F32" s="33">
        <v>109163.39</v>
      </c>
      <c r="O32" t="str">
        <v>VT04681</v>
      </c>
      <c r="P32" t="str">
        <v>Nickolai</v>
      </c>
      <c r="Q32" t="str">
        <v>Artin</v>
      </c>
      <c r="R32" t="str">
        <v>Female</v>
      </c>
      <c r="S32" t="str">
        <v>Product Management</v>
      </c>
      <c r="T32">
        <v>110906.35</v>
      </c>
      <c r="U32" t="str">
        <v>Above 100k</v>
      </c>
      <c r="V32">
        <v>43434</v>
      </c>
      <c r="W32">
        <v>1</v>
      </c>
      <c r="X32" t="str">
        <v>Temporary</v>
      </c>
      <c r="Y32" t="str">
        <v>Wellington, New Zealand</v>
      </c>
      <c r="Z32">
        <v>5.5616438356164384</v>
      </c>
      <c r="AA32" t="str">
        <v>Full time</v>
      </c>
      <c r="AD32" t="str">
        <v>VT02801</v>
      </c>
      <c r="AE32" t="str">
        <v>Shellysheldon</v>
      </c>
      <c r="AF32" s="33" t="str">
        <v>Mahady</v>
      </c>
      <c r="AG32" t="str">
        <v>Male</v>
      </c>
      <c r="AH32">
        <v>114691.03</v>
      </c>
      <c r="AI32">
        <v>44039</v>
      </c>
    </row>
    <row r="33" spans="15:35" x14ac:dyDescent="0.25">
      <c r="O33" t="str">
        <v>SQ00022</v>
      </c>
      <c r="P33" t="str">
        <v>Carlin</v>
      </c>
      <c r="Q33" t="str">
        <v>Demke</v>
      </c>
      <c r="R33" t="str">
        <v>Male</v>
      </c>
      <c r="S33" t="str">
        <v>Business Development</v>
      </c>
      <c r="T33">
        <v>110042.37</v>
      </c>
      <c r="U33" t="str">
        <v>Above 100k</v>
      </c>
      <c r="V33">
        <v>43914</v>
      </c>
      <c r="W33">
        <v>1</v>
      </c>
      <c r="X33" t="str">
        <v>Permanent</v>
      </c>
      <c r="Y33" t="str">
        <v>Columbus, USA</v>
      </c>
      <c r="Z33">
        <v>4.2465753424657535</v>
      </c>
      <c r="AA33" t="str">
        <v>Full time</v>
      </c>
      <c r="AD33" t="str">
        <v>VT02491</v>
      </c>
      <c r="AE33" t="str">
        <v>Alexis</v>
      </c>
      <c r="AF33" t="str">
        <v>Gotfrey</v>
      </c>
      <c r="AG33" t="str">
        <v>Male</v>
      </c>
      <c r="AH33">
        <v>114465.93</v>
      </c>
      <c r="AI33">
        <v>43291</v>
      </c>
    </row>
    <row r="34" spans="15:35" x14ac:dyDescent="0.25">
      <c r="O34" t="str">
        <v>TN00579</v>
      </c>
      <c r="P34" t="str">
        <v>Rafaelita</v>
      </c>
      <c r="Q34" t="str">
        <v>Blaksland</v>
      </c>
      <c r="R34" t="str">
        <v>Female</v>
      </c>
      <c r="S34" t="str">
        <v>Services</v>
      </c>
      <c r="T34">
        <v>109163.39</v>
      </c>
      <c r="U34" t="str">
        <v>Above 100k</v>
      </c>
      <c r="V34">
        <v>44019</v>
      </c>
      <c r="W34">
        <v>0.8</v>
      </c>
      <c r="X34" t="str">
        <v>Permanent</v>
      </c>
      <c r="Y34" t="str">
        <v>Seattle, USA</v>
      </c>
      <c r="Z34">
        <v>3.9589041095890409</v>
      </c>
      <c r="AA34" t="str">
        <v>Part time</v>
      </c>
      <c r="AD34" t="str">
        <v>VT03421</v>
      </c>
      <c r="AE34" t="str">
        <v>Alic</v>
      </c>
      <c r="AF34" t="str">
        <v>Bagg</v>
      </c>
      <c r="AG34" t="str">
        <v>Male</v>
      </c>
      <c r="AH34">
        <v>113747.56</v>
      </c>
      <c r="AI34">
        <v>44270</v>
      </c>
    </row>
    <row r="35" spans="15:35" x14ac:dyDescent="0.25">
      <c r="O35" t="str">
        <v>SQ03733</v>
      </c>
      <c r="P35" t="str">
        <v>Revkah</v>
      </c>
      <c r="Q35" t="str">
        <v>Antonacci</v>
      </c>
      <c r="R35" t="str">
        <v>Male</v>
      </c>
      <c r="S35" t="str">
        <v>Engineering</v>
      </c>
      <c r="T35">
        <v>109143.17</v>
      </c>
      <c r="U35" t="str">
        <v>Above 100k</v>
      </c>
      <c r="V35">
        <v>43945</v>
      </c>
      <c r="W35">
        <v>1</v>
      </c>
      <c r="X35" t="str">
        <v>Permanent</v>
      </c>
      <c r="Y35" t="str">
        <v>Wellington, New Zealand</v>
      </c>
      <c r="Z35">
        <v>4.161643835616438</v>
      </c>
      <c r="AA35" t="str">
        <v>Full time</v>
      </c>
      <c r="AD35" t="str">
        <v>VT03421</v>
      </c>
      <c r="AE35" t="str">
        <v>Alic</v>
      </c>
      <c r="AF35" t="str">
        <v>Bagg</v>
      </c>
      <c r="AG35" t="str">
        <v>Male</v>
      </c>
      <c r="AH35">
        <v>113747.56</v>
      </c>
      <c r="AI35">
        <v>44270</v>
      </c>
    </row>
    <row r="36" spans="15:35" x14ac:dyDescent="0.25">
      <c r="O36" t="str">
        <v>SQ03116</v>
      </c>
      <c r="P36" t="str">
        <v>Syd</v>
      </c>
      <c r="Q36" t="str">
        <v>Fearn</v>
      </c>
      <c r="R36" t="str">
        <v>Male</v>
      </c>
      <c r="S36" t="str">
        <v>Engineering</v>
      </c>
      <c r="T36">
        <v>108872.77</v>
      </c>
      <c r="U36" t="str">
        <v>Above 100k</v>
      </c>
      <c r="V36">
        <v>43521</v>
      </c>
      <c r="W36">
        <v>1</v>
      </c>
      <c r="X36" t="str">
        <v>Permanent</v>
      </c>
      <c r="Y36" t="str">
        <v>Remote</v>
      </c>
      <c r="Z36">
        <v>5.3232876712328769</v>
      </c>
      <c r="AA36" t="str">
        <v>Full time</v>
      </c>
      <c r="AD36" t="str">
        <v>SQ01620</v>
      </c>
      <c r="AE36" t="str">
        <v>Westbrook</v>
      </c>
      <c r="AF36" t="str">
        <v>Brandino</v>
      </c>
      <c r="AG36" t="str">
        <v>Male</v>
      </c>
      <c r="AH36">
        <v>113616.23</v>
      </c>
      <c r="AI36">
        <v>43255</v>
      </c>
    </row>
    <row r="37" spans="15:35" x14ac:dyDescent="0.25">
      <c r="O37" t="str">
        <v>SQ03476</v>
      </c>
      <c r="P37" t="str">
        <v>Ramalingam</v>
      </c>
      <c r="Q37" t="str">
        <v>Kothapeta</v>
      </c>
      <c r="R37" t="str">
        <v>Need to check</v>
      </c>
      <c r="S37" t="str">
        <v>Accounting</v>
      </c>
      <c r="T37">
        <v>107107.6</v>
      </c>
      <c r="U37" t="str">
        <v>Above 100k</v>
      </c>
      <c r="V37">
        <v>43325</v>
      </c>
      <c r="W37">
        <v>0.9</v>
      </c>
      <c r="X37" t="str">
        <v>Permanent</v>
      </c>
      <c r="Y37" t="str">
        <v>Chennai, India</v>
      </c>
      <c r="Z37">
        <v>5.86027397260274</v>
      </c>
      <c r="AA37" t="str">
        <v>Part time</v>
      </c>
      <c r="AD37" t="str">
        <v>VT01893</v>
      </c>
      <c r="AE37" t="str">
        <v>Lindy</v>
      </c>
      <c r="AF37" t="str">
        <v>Guillet</v>
      </c>
      <c r="AG37" t="str">
        <v>Male</v>
      </c>
      <c r="AH37">
        <v>112778.28</v>
      </c>
      <c r="AI37">
        <v>43250</v>
      </c>
    </row>
    <row r="38" spans="15:35" x14ac:dyDescent="0.25">
      <c r="O38" t="str">
        <v>TN04058</v>
      </c>
      <c r="P38" t="str">
        <v>Subbarao</v>
      </c>
      <c r="Q38" t="str">
        <v>Malladi</v>
      </c>
      <c r="R38" t="str">
        <v>Male</v>
      </c>
      <c r="S38" t="str">
        <v>Product Management</v>
      </c>
      <c r="T38">
        <v>106775.14</v>
      </c>
      <c r="U38" t="str">
        <v>Above 100k</v>
      </c>
      <c r="V38">
        <v>43563</v>
      </c>
      <c r="W38">
        <v>1</v>
      </c>
      <c r="X38" t="str">
        <v>Fixed Term</v>
      </c>
      <c r="Y38" t="str">
        <v>Hyderabad, India</v>
      </c>
      <c r="Z38">
        <v>5.2082191780821914</v>
      </c>
      <c r="AA38" t="str">
        <v>Full time</v>
      </c>
    </row>
    <row r="39" spans="15:35" x14ac:dyDescent="0.25">
      <c r="O39" t="str">
        <v>TN04058</v>
      </c>
      <c r="P39" t="str">
        <v>Vasu</v>
      </c>
      <c r="Q39" t="str">
        <v>Nandin</v>
      </c>
      <c r="R39" t="str">
        <v>Male</v>
      </c>
      <c r="S39" t="str">
        <v>Product Management</v>
      </c>
      <c r="T39">
        <v>106775.14</v>
      </c>
      <c r="U39" t="str">
        <v>Above 100k</v>
      </c>
      <c r="V39">
        <v>43563</v>
      </c>
      <c r="W39">
        <v>1</v>
      </c>
      <c r="X39" t="str">
        <v>Fixed Term</v>
      </c>
      <c r="Y39" t="str">
        <v>Hyderabad, India</v>
      </c>
      <c r="Z39">
        <v>5.2082191780821914</v>
      </c>
      <c r="AA39" t="str">
        <v>Full time</v>
      </c>
    </row>
    <row r="40" spans="15:35" x14ac:dyDescent="0.25">
      <c r="O40" t="str">
        <v>VT04552</v>
      </c>
      <c r="P40" t="str">
        <v>Theresita</v>
      </c>
      <c r="Q40" t="str">
        <v>Chasmer</v>
      </c>
      <c r="R40" t="str">
        <v>Female</v>
      </c>
      <c r="S40" t="str">
        <v>Product Management</v>
      </c>
      <c r="T40">
        <v>106665.67</v>
      </c>
      <c r="U40" t="str">
        <v>Above 100k</v>
      </c>
      <c r="V40">
        <v>43311</v>
      </c>
      <c r="W40">
        <v>1</v>
      </c>
      <c r="X40" t="str">
        <v>Temporary</v>
      </c>
      <c r="Y40" t="str">
        <v>Columbus, USA</v>
      </c>
      <c r="Z40">
        <v>5.8986301369863012</v>
      </c>
      <c r="AA40" t="str">
        <v>Full time</v>
      </c>
    </row>
    <row r="41" spans="15:35" x14ac:dyDescent="0.25">
      <c r="O41" t="str">
        <v>VT04350</v>
      </c>
      <c r="P41" t="str">
        <v>Kulbhushan</v>
      </c>
      <c r="Q41" t="str">
        <v>Moorthy</v>
      </c>
      <c r="R41" t="str">
        <v>Male</v>
      </c>
      <c r="S41" t="str">
        <v>Business Development</v>
      </c>
      <c r="T41">
        <v>106400.02</v>
      </c>
      <c r="U41" t="str">
        <v>Above 100k</v>
      </c>
      <c r="V41">
        <v>44021</v>
      </c>
      <c r="W41">
        <v>1</v>
      </c>
      <c r="X41" t="str">
        <v>Temporary</v>
      </c>
      <c r="Y41" t="str">
        <v>Chennai, India</v>
      </c>
      <c r="Z41">
        <v>3.9534246575342467</v>
      </c>
      <c r="AA41" t="str">
        <v>Full time</v>
      </c>
    </row>
    <row r="42" spans="15:35" x14ac:dyDescent="0.25">
      <c r="O42" t="str">
        <v>VT04350</v>
      </c>
      <c r="P42" t="str">
        <v>Lalit</v>
      </c>
      <c r="Q42" t="str">
        <v>Kothari</v>
      </c>
      <c r="R42" t="str">
        <v>Male</v>
      </c>
      <c r="S42" t="str">
        <v>Business Development</v>
      </c>
      <c r="T42">
        <v>106400.02</v>
      </c>
      <c r="U42" t="str">
        <v>Above 100k</v>
      </c>
      <c r="V42">
        <v>44021</v>
      </c>
      <c r="W42">
        <v>1</v>
      </c>
      <c r="X42" t="str">
        <v>Temporary</v>
      </c>
      <c r="Y42" t="str">
        <v>Chennai, India</v>
      </c>
      <c r="Z42">
        <v>3.9534246575342467</v>
      </c>
      <c r="AA42" t="str">
        <v>Full time</v>
      </c>
    </row>
    <row r="43" spans="15:35" x14ac:dyDescent="0.25">
      <c r="O43" t="str">
        <v>SQ02703</v>
      </c>
      <c r="P43" t="str">
        <v>Deepit</v>
      </c>
      <c r="Q43" t="str">
        <v>Ranjana</v>
      </c>
      <c r="R43" t="str">
        <v>Female</v>
      </c>
      <c r="S43" t="str">
        <v>Marketing</v>
      </c>
      <c r="T43">
        <v>104903.79</v>
      </c>
      <c r="U43" t="str">
        <v>Above 100k</v>
      </c>
      <c r="V43">
        <v>43649</v>
      </c>
      <c r="W43">
        <v>1</v>
      </c>
      <c r="X43" t="str">
        <v>Permanent</v>
      </c>
      <c r="Y43" t="str">
        <v>Chennai, India</v>
      </c>
      <c r="Z43">
        <v>4.9726027397260273</v>
      </c>
      <c r="AA43" t="str">
        <v>Full time</v>
      </c>
    </row>
    <row r="44" spans="15:35" x14ac:dyDescent="0.25">
      <c r="O44" t="str">
        <v>PR04601</v>
      </c>
      <c r="P44" t="str">
        <v>Yedukondalu</v>
      </c>
      <c r="Q44" t="str">
        <v>Panditula</v>
      </c>
      <c r="R44" t="str">
        <v>Need to check</v>
      </c>
      <c r="S44" t="str">
        <v>Support</v>
      </c>
      <c r="T44">
        <v>104802.63</v>
      </c>
      <c r="U44" t="str">
        <v>Above 100k</v>
      </c>
      <c r="V44">
        <v>44502</v>
      </c>
      <c r="W44">
        <v>1</v>
      </c>
      <c r="X44" t="str">
        <v>Permanent</v>
      </c>
      <c r="Y44" t="str">
        <v>Hyderabad, India</v>
      </c>
      <c r="Z44">
        <v>2.6356164383561644</v>
      </c>
      <c r="AA44" t="str">
        <v>Full time</v>
      </c>
    </row>
    <row r="45" spans="15:35" x14ac:dyDescent="0.25">
      <c r="O45" t="str">
        <v>PR02288</v>
      </c>
      <c r="P45" t="str">
        <v>Althea</v>
      </c>
      <c r="Q45" t="str">
        <v>Bronger</v>
      </c>
      <c r="R45" t="str">
        <v>Male</v>
      </c>
      <c r="S45" t="str">
        <v>Product Management</v>
      </c>
      <c r="T45">
        <v>104335.03999999999</v>
      </c>
      <c r="U45" t="str">
        <v>Above 100k</v>
      </c>
      <c r="V45">
        <v>43874</v>
      </c>
      <c r="W45">
        <v>1</v>
      </c>
      <c r="X45" t="str">
        <v>Permanent</v>
      </c>
      <c r="Y45" t="str">
        <v>Columbus, USA</v>
      </c>
      <c r="Z45">
        <v>4.3561643835616435</v>
      </c>
      <c r="AA45" t="str">
        <v>Full time</v>
      </c>
    </row>
    <row r="46" spans="15:35" x14ac:dyDescent="0.25">
      <c r="O46" t="str">
        <v>TN04740</v>
      </c>
      <c r="P46" t="str">
        <v>Tristam</v>
      </c>
      <c r="Q46" t="str">
        <v>Cuming</v>
      </c>
      <c r="R46" t="str">
        <v>Female</v>
      </c>
      <c r="S46" t="str">
        <v>Support</v>
      </c>
      <c r="T46">
        <v>104038.9</v>
      </c>
      <c r="U46" t="str">
        <v>Above 100k</v>
      </c>
      <c r="V46">
        <v>43815</v>
      </c>
      <c r="W46">
        <v>1</v>
      </c>
      <c r="X46" t="str">
        <v>Fixed Term</v>
      </c>
      <c r="Y46" t="str">
        <v>Remote</v>
      </c>
      <c r="Z46">
        <v>4.5178082191780824</v>
      </c>
      <c r="AA46" t="str">
        <v>Full time</v>
      </c>
    </row>
    <row r="47" spans="15:35" x14ac:dyDescent="0.25">
      <c r="O47" t="str">
        <v>SQ02035</v>
      </c>
      <c r="P47" t="str">
        <v>Anni</v>
      </c>
      <c r="Q47" t="str">
        <v>Izzard</v>
      </c>
      <c r="R47" t="str">
        <v>Male</v>
      </c>
      <c r="S47" t="str">
        <v>Human Resources</v>
      </c>
      <c r="T47">
        <v>103494.94</v>
      </c>
      <c r="U47" t="str">
        <v>Above 100k</v>
      </c>
      <c r="V47">
        <v>43256</v>
      </c>
      <c r="W47">
        <v>1</v>
      </c>
      <c r="X47" t="str">
        <v>Permanent</v>
      </c>
      <c r="Y47" t="str">
        <v>Remote</v>
      </c>
      <c r="Z47">
        <v>6.0493150684931507</v>
      </c>
      <c r="AA47" t="str">
        <v>Full time</v>
      </c>
    </row>
    <row r="48" spans="15:35" x14ac:dyDescent="0.25">
      <c r="O48" t="str">
        <v>SQ02035</v>
      </c>
      <c r="P48" t="str">
        <v>Anni</v>
      </c>
      <c r="Q48" t="str">
        <v>Izzard</v>
      </c>
      <c r="R48" t="str">
        <v>Male</v>
      </c>
      <c r="S48" t="str">
        <v>Human Resources</v>
      </c>
      <c r="T48">
        <v>103494.94</v>
      </c>
      <c r="U48" t="str">
        <v>Above 100k</v>
      </c>
      <c r="V48">
        <v>43256</v>
      </c>
      <c r="W48">
        <v>1</v>
      </c>
      <c r="X48" t="str">
        <v>Permanent</v>
      </c>
      <c r="Y48" t="str">
        <v>Remote</v>
      </c>
      <c r="Z48">
        <v>6.0493150684931507</v>
      </c>
      <c r="AA48" t="str">
        <v>Full time</v>
      </c>
    </row>
    <row r="49" spans="15:27" x14ac:dyDescent="0.25">
      <c r="O49" t="str">
        <v>PR02208</v>
      </c>
      <c r="P49" t="str">
        <v>Gowri</v>
      </c>
      <c r="Q49" t="str">
        <v>Sankar</v>
      </c>
      <c r="R49" t="str">
        <v>Female</v>
      </c>
      <c r="S49" t="str">
        <v>Training</v>
      </c>
      <c r="T49">
        <v>102934.09</v>
      </c>
      <c r="U49" t="str">
        <v>Above 100k</v>
      </c>
      <c r="V49">
        <v>44315</v>
      </c>
      <c r="W49">
        <v>1</v>
      </c>
      <c r="X49" t="str">
        <v>Permanent</v>
      </c>
      <c r="Y49" t="str">
        <v>Hyderabad, India</v>
      </c>
      <c r="Z49">
        <v>3.1479452054794521</v>
      </c>
      <c r="AA49" t="str">
        <v>Full time</v>
      </c>
    </row>
    <row r="50" spans="15:27" x14ac:dyDescent="0.25">
      <c r="O50" t="str">
        <v>VT01762</v>
      </c>
      <c r="P50" t="str">
        <v>Geena</v>
      </c>
      <c r="Q50" t="str">
        <v>Raghavanpillai</v>
      </c>
      <c r="R50" t="str">
        <v>Male</v>
      </c>
      <c r="S50" t="str">
        <v>Accounting</v>
      </c>
      <c r="T50">
        <v>102515.81</v>
      </c>
      <c r="U50" t="str">
        <v>Above 100k</v>
      </c>
      <c r="V50">
        <v>43902</v>
      </c>
      <c r="W50">
        <v>1</v>
      </c>
      <c r="X50" t="str">
        <v>Fixed Term</v>
      </c>
      <c r="Y50" t="str">
        <v>Chennai, India</v>
      </c>
      <c r="Z50">
        <v>4.279452054794521</v>
      </c>
      <c r="AA50" t="str">
        <v>Full time</v>
      </c>
    </row>
    <row r="51" spans="15:27" x14ac:dyDescent="0.25">
      <c r="O51" t="str">
        <v>SQ03491</v>
      </c>
      <c r="P51" t="str">
        <v>Freda</v>
      </c>
      <c r="Q51" t="str">
        <v>Legan</v>
      </c>
      <c r="R51" t="str">
        <v>Female</v>
      </c>
      <c r="S51" t="str">
        <v>Sales</v>
      </c>
      <c r="T51">
        <v>102129.37</v>
      </c>
      <c r="U51" t="str">
        <v>Above 100k</v>
      </c>
      <c r="V51">
        <v>44396</v>
      </c>
      <c r="W51">
        <v>1</v>
      </c>
      <c r="X51" t="str">
        <v>Permanent</v>
      </c>
      <c r="Y51" t="str">
        <v>Columbus, USA</v>
      </c>
      <c r="Z51">
        <v>2.9260273972602739</v>
      </c>
      <c r="AA51" t="str">
        <v>Full time</v>
      </c>
    </row>
    <row r="52" spans="15:27" x14ac:dyDescent="0.25">
      <c r="O52" t="str">
        <v>VT01684</v>
      </c>
      <c r="P52" t="str">
        <v>Audry</v>
      </c>
      <c r="Q52" t="str">
        <v>Yu</v>
      </c>
      <c r="R52" t="str">
        <v>Female</v>
      </c>
      <c r="S52" t="str">
        <v>Training</v>
      </c>
      <c r="T52">
        <v>101187.36</v>
      </c>
      <c r="U52" t="str">
        <v>Above 100k</v>
      </c>
      <c r="V52">
        <v>43258</v>
      </c>
      <c r="W52">
        <v>1</v>
      </c>
      <c r="X52" t="str">
        <v>Fixed Term</v>
      </c>
      <c r="Y52" t="str">
        <v>Columbus, USA</v>
      </c>
      <c r="Z52">
        <v>6.043835616438356</v>
      </c>
      <c r="AA52" t="str">
        <v>Full time</v>
      </c>
    </row>
    <row r="53" spans="15:27" x14ac:dyDescent="0.25">
      <c r="O53" t="str">
        <v>SQ03387</v>
      </c>
      <c r="P53" t="str">
        <v>Robinia</v>
      </c>
      <c r="Q53" t="str">
        <v>Scholling</v>
      </c>
      <c r="R53" t="str">
        <v>Female</v>
      </c>
      <c r="S53" t="str">
        <v>Human Resources</v>
      </c>
      <c r="T53">
        <v>100731.95</v>
      </c>
      <c r="U53" t="str">
        <v>Above 100k</v>
      </c>
      <c r="V53">
        <v>43936</v>
      </c>
      <c r="W53">
        <v>1</v>
      </c>
      <c r="X53" t="str">
        <v>Permanent</v>
      </c>
      <c r="Y53" t="str">
        <v>Auckland, New Zealand</v>
      </c>
      <c r="Z53">
        <v>4.1863013698630134</v>
      </c>
      <c r="AA53" t="str">
        <v>Full time</v>
      </c>
    </row>
    <row r="54" spans="15:27" x14ac:dyDescent="0.25">
      <c r="O54" t="str">
        <v>SQ04665</v>
      </c>
      <c r="P54" t="str">
        <v>Collin</v>
      </c>
      <c r="Q54" t="str">
        <v>Jagson</v>
      </c>
      <c r="R54" t="str">
        <v>Male</v>
      </c>
      <c r="S54" t="str">
        <v>Services</v>
      </c>
      <c r="T54">
        <v>100424.23</v>
      </c>
      <c r="U54" t="str">
        <v>Above 100k</v>
      </c>
      <c r="V54">
        <v>43801</v>
      </c>
      <c r="W54">
        <v>1</v>
      </c>
      <c r="X54" t="str">
        <v>Permanent</v>
      </c>
      <c r="Y54" t="str">
        <v>Auckland, New Zealand</v>
      </c>
      <c r="Z54">
        <v>4.5561643835616437</v>
      </c>
      <c r="AA54" t="str">
        <v>Full time</v>
      </c>
    </row>
    <row r="55" spans="15:27" x14ac:dyDescent="0.25">
      <c r="O55" t="str">
        <v>TN04246</v>
      </c>
      <c r="P55" t="str">
        <v>Shaylyn</v>
      </c>
      <c r="Q55" t="str">
        <v>Ransbury</v>
      </c>
      <c r="R55" t="str">
        <v>Female</v>
      </c>
      <c r="S55" t="str">
        <v>Support</v>
      </c>
      <c r="T55">
        <v>100371.31</v>
      </c>
      <c r="U55" t="str">
        <v>Above 100k</v>
      </c>
      <c r="V55">
        <v>44067</v>
      </c>
      <c r="W55">
        <v>0.8</v>
      </c>
      <c r="X55" t="str">
        <v>Fixed Term</v>
      </c>
      <c r="Y55" t="str">
        <v>Auckland, New Zealand</v>
      </c>
      <c r="Z55">
        <v>3.8273972602739725</v>
      </c>
      <c r="AA55" t="str">
        <v>Part time</v>
      </c>
    </row>
    <row r="56" spans="15:27" x14ac:dyDescent="0.25">
      <c r="O56" t="str">
        <v>SQ02465</v>
      </c>
      <c r="P56" t="str">
        <v>Bernie</v>
      </c>
      <c r="Q56" t="str">
        <v>Gorges</v>
      </c>
      <c r="R56" t="str">
        <v>Female</v>
      </c>
      <c r="S56" t="str">
        <v>Training</v>
      </c>
      <c r="T56">
        <v>99965.97</v>
      </c>
      <c r="U56" t="str">
        <v>50k to 100k</v>
      </c>
      <c r="V56">
        <v>43133</v>
      </c>
      <c r="W56">
        <v>1</v>
      </c>
      <c r="X56" t="str">
        <v>Permanent</v>
      </c>
      <c r="Y56" t="str">
        <v>Remote</v>
      </c>
      <c r="Z56">
        <v>6.3863013698630136</v>
      </c>
      <c r="AA56" t="str">
        <v>Full time</v>
      </c>
    </row>
    <row r="57" spans="15:27" x14ac:dyDescent="0.25">
      <c r="O57" t="str">
        <v>TN03575</v>
      </c>
      <c r="P57" t="str">
        <v>Janina</v>
      </c>
      <c r="Q57" t="str">
        <v>Wolverson</v>
      </c>
      <c r="R57" t="str">
        <v>Female</v>
      </c>
      <c r="S57" t="str">
        <v>Research and Development</v>
      </c>
      <c r="T57">
        <v>99683.67</v>
      </c>
      <c r="U57" t="str">
        <v>50k to 100k</v>
      </c>
      <c r="V57">
        <v>43500</v>
      </c>
      <c r="W57">
        <v>1</v>
      </c>
      <c r="X57" t="str">
        <v>Fixed Term</v>
      </c>
      <c r="Y57" t="str">
        <v>Seattle, USA</v>
      </c>
      <c r="Z57">
        <v>5.3808219178082188</v>
      </c>
      <c r="AA57" t="str">
        <v>Full time</v>
      </c>
    </row>
    <row r="58" spans="15:27" x14ac:dyDescent="0.25">
      <c r="O58" t="str">
        <v>TN03575</v>
      </c>
      <c r="P58" t="str">
        <v>Janina</v>
      </c>
      <c r="Q58" t="str">
        <v>Wolverson</v>
      </c>
      <c r="R58" t="str">
        <v>Female</v>
      </c>
      <c r="S58" t="str">
        <v>Research and Development</v>
      </c>
      <c r="T58">
        <v>99683.67</v>
      </c>
      <c r="U58" t="str">
        <v>50k to 100k</v>
      </c>
      <c r="V58">
        <v>43500</v>
      </c>
      <c r="W58">
        <v>1</v>
      </c>
      <c r="X58" t="str">
        <v>Fixed Term</v>
      </c>
      <c r="Y58" t="str">
        <v>Seattle, USA</v>
      </c>
      <c r="Z58">
        <v>5.3808219178082188</v>
      </c>
      <c r="AA58" t="str">
        <v>Full time</v>
      </c>
    </row>
    <row r="59" spans="15:27" x14ac:dyDescent="0.25">
      <c r="O59" t="str">
        <v>TN01340</v>
      </c>
      <c r="P59" t="str">
        <v>Granny</v>
      </c>
      <c r="Q59" t="str">
        <v>Spencelayh</v>
      </c>
      <c r="R59" t="str">
        <v>Male</v>
      </c>
      <c r="S59" t="str">
        <v>Legal</v>
      </c>
      <c r="T59">
        <v>99460.78</v>
      </c>
      <c r="U59" t="str">
        <v>50k to 100k</v>
      </c>
      <c r="V59">
        <v>43956</v>
      </c>
      <c r="W59">
        <v>1</v>
      </c>
      <c r="X59" t="str">
        <v>Permanent</v>
      </c>
      <c r="Y59" t="str">
        <v>Remote</v>
      </c>
      <c r="Z59">
        <v>4.1315068493150688</v>
      </c>
      <c r="AA59" t="str">
        <v>Full time</v>
      </c>
    </row>
    <row r="60" spans="15:27" x14ac:dyDescent="0.25">
      <c r="O60" t="str">
        <v>TN04428</v>
      </c>
      <c r="P60" t="str">
        <v>Tadio</v>
      </c>
      <c r="Q60" t="str">
        <v>Audritt</v>
      </c>
      <c r="R60" t="str">
        <v>Need to check</v>
      </c>
      <c r="S60" t="str">
        <v>Human Resources</v>
      </c>
      <c r="T60">
        <v>99448.78</v>
      </c>
      <c r="U60" t="str">
        <v>50k to 100k</v>
      </c>
      <c r="V60">
        <v>43473</v>
      </c>
      <c r="W60">
        <v>1</v>
      </c>
      <c r="X60" t="str">
        <v>Fixed Term</v>
      </c>
      <c r="Y60" t="str">
        <v>Wellington, New Zealand</v>
      </c>
      <c r="Z60">
        <v>5.4547945205479449</v>
      </c>
      <c r="AA60" t="str">
        <v>Full time</v>
      </c>
    </row>
    <row r="61" spans="15:27" x14ac:dyDescent="0.25">
      <c r="O61" t="str">
        <v>TN04428</v>
      </c>
      <c r="P61" t="str">
        <v>Tadio</v>
      </c>
      <c r="Q61" t="str">
        <v>Audritt</v>
      </c>
      <c r="R61" t="str">
        <v>Need to check</v>
      </c>
      <c r="S61" t="str">
        <v>Human Resources</v>
      </c>
      <c r="T61">
        <v>99448.78</v>
      </c>
      <c r="U61" t="str">
        <v>50k to 100k</v>
      </c>
      <c r="V61">
        <v>43473</v>
      </c>
      <c r="W61">
        <v>1</v>
      </c>
      <c r="X61" t="str">
        <v>Fixed Term</v>
      </c>
      <c r="Y61" t="str">
        <v>Wellington, New Zealand</v>
      </c>
      <c r="Z61">
        <v>5.4547945205479449</v>
      </c>
      <c r="AA61" t="str">
        <v>Full time</v>
      </c>
    </row>
    <row r="62" spans="15:27" x14ac:dyDescent="0.25">
      <c r="O62" t="str">
        <v>TN02377</v>
      </c>
      <c r="P62" t="str">
        <v>Anjela</v>
      </c>
      <c r="Q62" t="str">
        <v>Spancock</v>
      </c>
      <c r="R62" t="str">
        <v>Need to check</v>
      </c>
      <c r="S62" t="str">
        <v>Accounting</v>
      </c>
      <c r="T62">
        <v>98012.63</v>
      </c>
      <c r="U62" t="str">
        <v>50k to 100k</v>
      </c>
      <c r="V62">
        <v>43780</v>
      </c>
      <c r="W62">
        <v>1</v>
      </c>
      <c r="X62" t="str">
        <v>Permanent</v>
      </c>
      <c r="Y62" t="str">
        <v>Remote</v>
      </c>
      <c r="Z62">
        <v>4.6136986301369864</v>
      </c>
      <c r="AA62" t="str">
        <v>Full time</v>
      </c>
    </row>
    <row r="63" spans="15:27" x14ac:dyDescent="0.25">
      <c r="O63" t="str">
        <v>PR04686</v>
      </c>
      <c r="P63" t="str">
        <v>Oona</v>
      </c>
      <c r="Q63" t="str">
        <v>Donan</v>
      </c>
      <c r="R63" t="str">
        <v>Female</v>
      </c>
      <c r="S63" t="str">
        <v>Business Development</v>
      </c>
      <c r="T63">
        <v>98000</v>
      </c>
      <c r="U63" t="str">
        <v>50k to 100k</v>
      </c>
      <c r="V63">
        <v>43710</v>
      </c>
      <c r="W63">
        <v>0.9</v>
      </c>
      <c r="X63" t="str">
        <v>Permanent</v>
      </c>
      <c r="Y63" t="str">
        <v>Seattle, USA</v>
      </c>
      <c r="Z63">
        <v>4.8054794520547945</v>
      </c>
      <c r="AA63" t="str">
        <v>Part time</v>
      </c>
    </row>
    <row r="64" spans="15:27" x14ac:dyDescent="0.25">
      <c r="O64" t="str">
        <v>PR01269</v>
      </c>
      <c r="P64" t="str">
        <v>Eleonore</v>
      </c>
      <c r="Q64" t="str">
        <v>Airdrie</v>
      </c>
      <c r="R64" t="str">
        <v>Female</v>
      </c>
      <c r="S64" t="str">
        <v>Engineering</v>
      </c>
      <c r="T64">
        <v>97105.19</v>
      </c>
      <c r="U64" t="str">
        <v>50k to 100k</v>
      </c>
      <c r="V64">
        <v>44425</v>
      </c>
      <c r="W64">
        <v>1</v>
      </c>
      <c r="X64" t="str">
        <v>Permanent</v>
      </c>
      <c r="Y64" t="str">
        <v>Columbus, USA</v>
      </c>
      <c r="Z64">
        <v>2.8465753424657536</v>
      </c>
      <c r="AA64" t="str">
        <v>Full time</v>
      </c>
    </row>
    <row r="65" spans="15:27" x14ac:dyDescent="0.25">
      <c r="O65" t="str">
        <v>TN02674</v>
      </c>
      <c r="P65" t="str">
        <v>Antonetta</v>
      </c>
      <c r="Q65" t="str">
        <v>Coggeshall</v>
      </c>
      <c r="R65" t="str">
        <v>Male</v>
      </c>
      <c r="S65" t="str">
        <v>Sales</v>
      </c>
      <c r="T65">
        <v>96753.78</v>
      </c>
      <c r="U65" t="str">
        <v>50k to 100k</v>
      </c>
      <c r="V65">
        <v>44494</v>
      </c>
      <c r="W65">
        <v>1</v>
      </c>
      <c r="X65" t="str">
        <v>Permanent</v>
      </c>
      <c r="Y65" t="str">
        <v>Auckland, New Zealand</v>
      </c>
      <c r="Z65">
        <v>2.6575342465753424</v>
      </c>
      <c r="AA65" t="str">
        <v>Full time</v>
      </c>
    </row>
    <row r="66" spans="15:27" x14ac:dyDescent="0.25">
      <c r="O66" t="str">
        <v>TN02674</v>
      </c>
      <c r="P66" t="str">
        <v>Antonetta</v>
      </c>
      <c r="Q66" t="str">
        <v>Coggeshall</v>
      </c>
      <c r="R66" t="str">
        <v>Male</v>
      </c>
      <c r="S66" t="str">
        <v>Sales</v>
      </c>
      <c r="T66">
        <v>96753.78</v>
      </c>
      <c r="U66" t="str">
        <v>50k to 100k</v>
      </c>
      <c r="V66">
        <v>44494</v>
      </c>
      <c r="W66">
        <v>1</v>
      </c>
      <c r="X66" t="str">
        <v>Permanent</v>
      </c>
      <c r="Y66" t="str">
        <v>Auckland, New Zealand</v>
      </c>
      <c r="Z66">
        <v>2.6575342465753424</v>
      </c>
      <c r="AA66" t="str">
        <v>Full time</v>
      </c>
    </row>
    <row r="67" spans="15:27" x14ac:dyDescent="0.25">
      <c r="O67" t="str">
        <v>VT02319</v>
      </c>
      <c r="P67" t="str">
        <v>Tarala</v>
      </c>
      <c r="Q67" t="str">
        <v>Vishaal</v>
      </c>
      <c r="R67" t="str">
        <v>Female</v>
      </c>
      <c r="S67" t="str">
        <v>Research and Development</v>
      </c>
      <c r="T67">
        <v>96555.53</v>
      </c>
      <c r="U67" t="str">
        <v>50k to 100k</v>
      </c>
      <c r="V67">
        <v>43489</v>
      </c>
      <c r="W67">
        <v>0.2</v>
      </c>
      <c r="X67" t="str">
        <v>Temporary</v>
      </c>
      <c r="Y67" t="str">
        <v>Hyderabad, India</v>
      </c>
      <c r="Z67">
        <v>5.4109589041095889</v>
      </c>
      <c r="AA67" t="str">
        <v>Part time</v>
      </c>
    </row>
    <row r="68" spans="15:27" x14ac:dyDescent="0.25">
      <c r="O68" t="str">
        <v>PR00007</v>
      </c>
      <c r="P68" t="str">
        <v>Torrance</v>
      </c>
      <c r="Q68" t="str">
        <v>Collier</v>
      </c>
      <c r="R68" t="str">
        <v>Female</v>
      </c>
      <c r="S68" t="str">
        <v>Training</v>
      </c>
      <c r="T68">
        <v>96135.75</v>
      </c>
      <c r="U68" t="str">
        <v>50k to 100k</v>
      </c>
      <c r="V68">
        <v>44025</v>
      </c>
      <c r="W68">
        <v>0.3</v>
      </c>
      <c r="X68" t="str">
        <v>Permanent</v>
      </c>
      <c r="Y68" t="str">
        <v>Wellington, New Zealand</v>
      </c>
      <c r="Z68">
        <v>3.9424657534246577</v>
      </c>
      <c r="AA68" t="str">
        <v>Part time</v>
      </c>
    </row>
    <row r="69" spans="15:27" x14ac:dyDescent="0.25">
      <c r="O69" t="str">
        <v>PR02140</v>
      </c>
      <c r="P69" t="str">
        <v>Anjushri</v>
      </c>
      <c r="Q69" t="str">
        <v>Chandiramani</v>
      </c>
      <c r="R69" t="str">
        <v>Male</v>
      </c>
      <c r="S69" t="str">
        <v>Accounting</v>
      </c>
      <c r="T69">
        <v>95954.02</v>
      </c>
      <c r="U69" t="str">
        <v>50k to 100k</v>
      </c>
      <c r="V69">
        <v>43567</v>
      </c>
      <c r="W69">
        <v>0.3</v>
      </c>
      <c r="X69" t="str">
        <v>Permanent</v>
      </c>
      <c r="Y69" t="str">
        <v>Hyderabad, India</v>
      </c>
      <c r="Z69">
        <v>5.1972602739726028</v>
      </c>
      <c r="AA69" t="str">
        <v>Part time</v>
      </c>
    </row>
    <row r="70" spans="15:27" x14ac:dyDescent="0.25">
      <c r="O70" t="str">
        <v>SQ03626</v>
      </c>
      <c r="P70" t="str">
        <v>Krishnakanta</v>
      </c>
      <c r="Q70" t="str">
        <v>Vellanki</v>
      </c>
      <c r="R70" t="str">
        <v>Female</v>
      </c>
      <c r="S70" t="str">
        <v>Training</v>
      </c>
      <c r="T70">
        <v>95677.9</v>
      </c>
      <c r="U70" t="str">
        <v>50k to 100k</v>
      </c>
      <c r="V70">
        <v>44396</v>
      </c>
      <c r="W70">
        <v>0.3</v>
      </c>
      <c r="X70" t="str">
        <v>Permanent</v>
      </c>
      <c r="Y70" t="str">
        <v>Chennai, India</v>
      </c>
      <c r="Z70">
        <v>2.9260273972602739</v>
      </c>
      <c r="AA70" t="str">
        <v>Part time</v>
      </c>
    </row>
    <row r="71" spans="15:27" x14ac:dyDescent="0.25">
      <c r="O71" t="str">
        <v>VT01101</v>
      </c>
      <c r="P71" t="str">
        <v>Adela</v>
      </c>
      <c r="Q71" t="str">
        <v>Dowsett</v>
      </c>
      <c r="R71" t="str">
        <v>Male</v>
      </c>
      <c r="S71" t="str">
        <v>Support</v>
      </c>
      <c r="T71">
        <v>95017.1</v>
      </c>
      <c r="U71" t="str">
        <v>50k to 100k</v>
      </c>
      <c r="V71">
        <v>43283</v>
      </c>
      <c r="W71">
        <v>1</v>
      </c>
      <c r="X71" t="str">
        <v>Fixed Term</v>
      </c>
      <c r="Y71" t="str">
        <v>Seattle, USA</v>
      </c>
      <c r="Z71">
        <v>5.9753424657534246</v>
      </c>
      <c r="AA71" t="str">
        <v>Full time</v>
      </c>
    </row>
    <row r="72" spans="15:27" x14ac:dyDescent="0.25">
      <c r="O72" t="str">
        <v>TN00328</v>
      </c>
      <c r="P72" t="str">
        <v>Jeannie</v>
      </c>
      <c r="Q72" t="str">
        <v>Petracco</v>
      </c>
      <c r="R72" t="str">
        <v>Female</v>
      </c>
      <c r="S72" t="str">
        <v>Engineering</v>
      </c>
      <c r="T72">
        <v>94815.28</v>
      </c>
      <c r="U72" t="str">
        <v>50k to 100k</v>
      </c>
      <c r="V72">
        <v>43440</v>
      </c>
      <c r="W72">
        <v>1</v>
      </c>
      <c r="X72" t="str">
        <v>Permanent</v>
      </c>
      <c r="Y72" t="str">
        <v>Seattle, USA</v>
      </c>
      <c r="Z72">
        <v>5.5452054794520551</v>
      </c>
      <c r="AA72" t="str">
        <v>Full time</v>
      </c>
    </row>
    <row r="73" spans="15:27" x14ac:dyDescent="0.25">
      <c r="O73" t="str">
        <v>TN04265</v>
      </c>
      <c r="P73" t="str">
        <v>Rushil</v>
      </c>
      <c r="Q73" t="str">
        <v>Kripa</v>
      </c>
      <c r="R73" t="str">
        <v>Female</v>
      </c>
      <c r="S73" t="str">
        <v>Training</v>
      </c>
      <c r="T73">
        <v>93964.3</v>
      </c>
      <c r="U73" t="str">
        <v>50k to 100k</v>
      </c>
      <c r="V73">
        <v>44454</v>
      </c>
      <c r="W73">
        <v>0.4</v>
      </c>
      <c r="X73" t="str">
        <v>Fixed Term</v>
      </c>
      <c r="Y73" t="str">
        <v>Hyderabad, India</v>
      </c>
      <c r="Z73">
        <v>2.7671232876712328</v>
      </c>
      <c r="AA73" t="str">
        <v>Part time</v>
      </c>
    </row>
    <row r="74" spans="15:27" x14ac:dyDescent="0.25">
      <c r="O74" t="str">
        <v>VT01803</v>
      </c>
      <c r="P74" t="str">
        <v>Freddy</v>
      </c>
      <c r="Q74" t="str">
        <v>Linford</v>
      </c>
      <c r="R74" t="str">
        <v>Female</v>
      </c>
      <c r="S74" t="str">
        <v>Training</v>
      </c>
      <c r="T74">
        <v>93128.34</v>
      </c>
      <c r="U74" t="str">
        <v>50k to 100k</v>
      </c>
      <c r="V74">
        <v>43164</v>
      </c>
      <c r="W74">
        <v>1</v>
      </c>
      <c r="X74" t="str">
        <v>Fixed Term</v>
      </c>
      <c r="Y74" t="str">
        <v>Seattle, USA</v>
      </c>
      <c r="Z74">
        <v>6.3013698630136989</v>
      </c>
      <c r="AA74" t="str">
        <v>Full time</v>
      </c>
    </row>
    <row r="75" spans="15:27" x14ac:dyDescent="0.25">
      <c r="O75" t="str">
        <v>TN02988</v>
      </c>
      <c r="P75" t="str">
        <v>Mahindra</v>
      </c>
      <c r="Q75" t="str">
        <v>Sreedharan</v>
      </c>
      <c r="R75" t="str">
        <v>Male</v>
      </c>
      <c r="S75" t="str">
        <v>Engineering</v>
      </c>
      <c r="T75">
        <v>92943.89</v>
      </c>
      <c r="U75" t="str">
        <v>50k to 100k</v>
      </c>
      <c r="V75">
        <v>44510</v>
      </c>
      <c r="W75">
        <v>1</v>
      </c>
      <c r="X75" t="str">
        <v>Permanent</v>
      </c>
      <c r="Y75" t="str">
        <v>Hyderabad, India</v>
      </c>
      <c r="Z75">
        <v>2.6136986301369864</v>
      </c>
      <c r="AA75" t="str">
        <v>Full time</v>
      </c>
    </row>
    <row r="76" spans="15:27" x14ac:dyDescent="0.25">
      <c r="O76" t="str">
        <v>TN04175</v>
      </c>
      <c r="P76" t="str">
        <v>Hinda</v>
      </c>
      <c r="Q76" t="str">
        <v>Label</v>
      </c>
      <c r="R76" t="str">
        <v>Female</v>
      </c>
      <c r="S76" t="str">
        <v>Human Resources</v>
      </c>
      <c r="T76">
        <v>92704.48</v>
      </c>
      <c r="U76" t="str">
        <v>50k to 100k</v>
      </c>
      <c r="V76">
        <v>43430</v>
      </c>
      <c r="W76">
        <v>1</v>
      </c>
      <c r="X76" t="str">
        <v>Fixed Term</v>
      </c>
      <c r="Y76" t="str">
        <v>Columbus, USA</v>
      </c>
      <c r="Z76">
        <v>5.5726027397260278</v>
      </c>
      <c r="AA76" t="str">
        <v>Full time</v>
      </c>
    </row>
    <row r="77" spans="15:27" x14ac:dyDescent="0.25">
      <c r="O77" t="str">
        <v>PR04446</v>
      </c>
      <c r="P77" t="str">
        <v>Sameer</v>
      </c>
      <c r="Q77" t="str">
        <v>Shashank</v>
      </c>
      <c r="R77" t="str">
        <v>Female</v>
      </c>
      <c r="S77" t="str">
        <v>Research and Development</v>
      </c>
      <c r="T77">
        <v>92336.08</v>
      </c>
      <c r="U77" t="str">
        <v>50k to 100k</v>
      </c>
      <c r="V77">
        <v>44431</v>
      </c>
      <c r="W77">
        <v>1</v>
      </c>
      <c r="X77" t="str">
        <v>Permanent</v>
      </c>
      <c r="Y77" t="str">
        <v>Hyderabad, India</v>
      </c>
      <c r="Z77">
        <v>2.8301369863013699</v>
      </c>
      <c r="AA77" t="str">
        <v>Full time</v>
      </c>
    </row>
    <row r="78" spans="15:27" x14ac:dyDescent="0.25">
      <c r="O78" t="str">
        <v>TN04166</v>
      </c>
      <c r="P78" t="str">
        <v>Tadio</v>
      </c>
      <c r="Q78" t="str">
        <v>Dowdle</v>
      </c>
      <c r="R78" t="str">
        <v>Female</v>
      </c>
      <c r="S78" t="str">
        <v>Product Management</v>
      </c>
      <c r="T78">
        <v>91929.69</v>
      </c>
      <c r="U78" t="str">
        <v>50k to 100k</v>
      </c>
      <c r="V78">
        <v>44085</v>
      </c>
      <c r="W78">
        <v>1</v>
      </c>
      <c r="X78" t="str">
        <v>Fixed Term</v>
      </c>
      <c r="Y78" t="str">
        <v>Remote</v>
      </c>
      <c r="Z78">
        <v>3.7780821917808218</v>
      </c>
      <c r="AA78" t="str">
        <v>Full time</v>
      </c>
    </row>
    <row r="79" spans="15:27" x14ac:dyDescent="0.25">
      <c r="O79" t="str">
        <v>PR01211</v>
      </c>
      <c r="P79" t="str">
        <v>Enoch</v>
      </c>
      <c r="Q79" t="str">
        <v>Dowrey</v>
      </c>
      <c r="R79" t="str">
        <v>Male</v>
      </c>
      <c r="S79" t="str">
        <v>Accounting</v>
      </c>
      <c r="T79">
        <v>91645.04</v>
      </c>
      <c r="U79" t="str">
        <v>50k to 100k</v>
      </c>
      <c r="V79">
        <v>44223</v>
      </c>
      <c r="W79">
        <v>1</v>
      </c>
      <c r="X79" t="str">
        <v>Permanent</v>
      </c>
      <c r="Y79" t="str">
        <v>Auckland, New Zealand</v>
      </c>
      <c r="Z79">
        <v>3.4</v>
      </c>
      <c r="AA79" t="str">
        <v>Full time</v>
      </c>
    </row>
    <row r="80" spans="15:27" x14ac:dyDescent="0.25">
      <c r="O80" t="str">
        <v>VT00534</v>
      </c>
      <c r="P80" t="str">
        <v>Roselle</v>
      </c>
      <c r="Q80" t="str">
        <v>Wandrach</v>
      </c>
      <c r="R80" t="str">
        <v>Male</v>
      </c>
      <c r="S80" t="str">
        <v>Sales</v>
      </c>
      <c r="T80">
        <v>91314.75</v>
      </c>
      <c r="U80" t="str">
        <v>50k to 100k</v>
      </c>
      <c r="V80">
        <v>43931</v>
      </c>
      <c r="W80">
        <v>1</v>
      </c>
      <c r="X80" t="str">
        <v>Fixed Term</v>
      </c>
      <c r="Y80" t="str">
        <v>Seattle, USA</v>
      </c>
      <c r="Z80">
        <v>4.2</v>
      </c>
      <c r="AA80" t="str">
        <v>Full time</v>
      </c>
    </row>
    <row r="81" spans="15:27" x14ac:dyDescent="0.25">
      <c r="O81" t="str">
        <v>SQ02559</v>
      </c>
      <c r="P81" t="str">
        <v>Aldrich</v>
      </c>
      <c r="Q81" t="str">
        <v>Glenny</v>
      </c>
      <c r="R81" t="str">
        <v>Male</v>
      </c>
      <c r="S81" t="str">
        <v>Business Development</v>
      </c>
      <c r="T81">
        <v>90884.32</v>
      </c>
      <c r="U81" t="str">
        <v>50k to 100k</v>
      </c>
      <c r="V81">
        <v>43826</v>
      </c>
      <c r="W81">
        <v>1</v>
      </c>
      <c r="X81" t="str">
        <v>Permanent</v>
      </c>
      <c r="Y81" t="str">
        <v>Columbus, USA</v>
      </c>
      <c r="Z81">
        <v>4.4876712328767123</v>
      </c>
      <c r="AA81" t="str">
        <v>Full time</v>
      </c>
    </row>
    <row r="82" spans="15:27" x14ac:dyDescent="0.25">
      <c r="O82" t="str">
        <v>SQ02559</v>
      </c>
      <c r="P82" t="str">
        <v>Aldrich</v>
      </c>
      <c r="Q82" t="str">
        <v>Glenny</v>
      </c>
      <c r="R82" t="str">
        <v>Male</v>
      </c>
      <c r="S82" t="str">
        <v>Business Development</v>
      </c>
      <c r="T82">
        <v>90884.32</v>
      </c>
      <c r="U82" t="str">
        <v>50k to 100k</v>
      </c>
      <c r="V82">
        <v>43826</v>
      </c>
      <c r="W82">
        <v>1</v>
      </c>
      <c r="X82" t="str">
        <v>Permanent</v>
      </c>
      <c r="Y82" t="str">
        <v>Columbus, USA</v>
      </c>
      <c r="Z82">
        <v>4.4876712328767123</v>
      </c>
      <c r="AA82" t="str">
        <v>Full time</v>
      </c>
    </row>
    <row r="83" spans="15:27" x14ac:dyDescent="0.25">
      <c r="O83" t="str">
        <v>TN02204</v>
      </c>
      <c r="P83" t="str">
        <v>Aldrich</v>
      </c>
      <c r="Q83" t="str">
        <v>Glenny</v>
      </c>
      <c r="R83" t="str">
        <v>Male</v>
      </c>
      <c r="S83" t="str">
        <v>Business Development</v>
      </c>
      <c r="T83">
        <v>90884.32</v>
      </c>
      <c r="U83" t="str">
        <v>50k to 100k</v>
      </c>
      <c r="V83">
        <v>44039</v>
      </c>
      <c r="W83">
        <v>0.5</v>
      </c>
      <c r="X83" t="str">
        <v>Permanent</v>
      </c>
      <c r="Y83" t="str">
        <v>Columbus, USA</v>
      </c>
      <c r="Z83">
        <v>3.904109589041096</v>
      </c>
      <c r="AA83" t="str">
        <v>Part time</v>
      </c>
    </row>
    <row r="84" spans="15:27" x14ac:dyDescent="0.25">
      <c r="O84" t="str">
        <v>SQ01395</v>
      </c>
      <c r="P84" t="str">
        <v>Dennison</v>
      </c>
      <c r="Q84" t="str">
        <v>Crosswaite</v>
      </c>
      <c r="R84" t="str">
        <v>Male</v>
      </c>
      <c r="S84" t="str">
        <v>Legal</v>
      </c>
      <c r="T84">
        <v>90697.67</v>
      </c>
      <c r="U84" t="str">
        <v>50k to 100k</v>
      </c>
      <c r="V84">
        <v>44221</v>
      </c>
      <c r="W84">
        <v>0.8</v>
      </c>
      <c r="X84" t="str">
        <v>Permanent</v>
      </c>
      <c r="Y84" t="str">
        <v>Seattle, USA</v>
      </c>
      <c r="Z84">
        <v>3.4054794520547946</v>
      </c>
      <c r="AA84" t="str">
        <v>Part time</v>
      </c>
    </row>
    <row r="85" spans="15:27" x14ac:dyDescent="0.25">
      <c r="O85" t="str">
        <v>VT00476</v>
      </c>
      <c r="P85" t="str">
        <v>Adolph</v>
      </c>
      <c r="Q85" t="str">
        <v>Hartin</v>
      </c>
      <c r="R85" t="str">
        <v>Male</v>
      </c>
      <c r="S85" t="str">
        <v>Product Management</v>
      </c>
      <c r="T85">
        <v>89960.6</v>
      </c>
      <c r="U85" t="str">
        <v>50k to 100k</v>
      </c>
      <c r="V85">
        <v>43515</v>
      </c>
      <c r="W85">
        <v>1</v>
      </c>
      <c r="X85" t="str">
        <v>Fixed Term</v>
      </c>
      <c r="Y85" t="str">
        <v>Auckland, New Zealand</v>
      </c>
      <c r="Z85">
        <v>5.3397260273972602</v>
      </c>
      <c r="AA85" t="str">
        <v>Full time</v>
      </c>
    </row>
    <row r="86" spans="15:27" x14ac:dyDescent="0.25">
      <c r="O86" t="str">
        <v>TN01210</v>
      </c>
      <c r="P86" t="str">
        <v>Alyosha</v>
      </c>
      <c r="Q86" t="str">
        <v>Riquet</v>
      </c>
      <c r="R86" t="str">
        <v>Male</v>
      </c>
      <c r="S86" t="str">
        <v>Legal</v>
      </c>
      <c r="T86">
        <v>89838.77</v>
      </c>
      <c r="U86" t="str">
        <v>50k to 100k</v>
      </c>
      <c r="V86">
        <v>43602</v>
      </c>
      <c r="W86">
        <v>1</v>
      </c>
      <c r="X86" t="str">
        <v>Permanent</v>
      </c>
      <c r="Y86" t="str">
        <v>Remote</v>
      </c>
      <c r="Z86">
        <v>5.1013698630136988</v>
      </c>
      <c r="AA86" t="str">
        <v>Full time</v>
      </c>
    </row>
    <row r="87" spans="15:27" x14ac:dyDescent="0.25">
      <c r="O87" t="str">
        <v>VT03701</v>
      </c>
      <c r="P87" t="str">
        <v>Narois</v>
      </c>
      <c r="Q87" t="str">
        <v>Motiwala</v>
      </c>
      <c r="R87" t="str">
        <v>Female</v>
      </c>
      <c r="S87" t="str">
        <v>Product Management</v>
      </c>
      <c r="T87">
        <v>89829.33</v>
      </c>
      <c r="U87" t="str">
        <v>50k to 100k</v>
      </c>
      <c r="V87">
        <v>43794</v>
      </c>
      <c r="W87">
        <v>1</v>
      </c>
      <c r="X87" t="str">
        <v>Temporary</v>
      </c>
      <c r="Y87" t="str">
        <v>Chennai, India</v>
      </c>
      <c r="Z87">
        <v>4.5753424657534243</v>
      </c>
      <c r="AA87" t="str">
        <v>Full time</v>
      </c>
    </row>
    <row r="88" spans="15:27" x14ac:dyDescent="0.25">
      <c r="O88" t="str">
        <v>PR03158</v>
      </c>
      <c r="P88" t="str">
        <v>Danica</v>
      </c>
      <c r="Q88" t="str">
        <v>Nayshe</v>
      </c>
      <c r="R88" t="str">
        <v>Female</v>
      </c>
      <c r="S88" t="str">
        <v>Services</v>
      </c>
      <c r="T88">
        <v>89690.38</v>
      </c>
      <c r="U88" t="str">
        <v>50k to 100k</v>
      </c>
      <c r="V88">
        <v>43206</v>
      </c>
      <c r="W88">
        <v>1</v>
      </c>
      <c r="X88" t="str">
        <v>Permanent</v>
      </c>
      <c r="Y88" t="str">
        <v>Wellington, New Zealand</v>
      </c>
      <c r="Z88">
        <v>6.1863013698630134</v>
      </c>
      <c r="AA88" t="str">
        <v>Full time</v>
      </c>
    </row>
    <row r="89" spans="15:27" x14ac:dyDescent="0.25">
      <c r="O89" t="str">
        <v>SQ00841</v>
      </c>
      <c r="P89" t="str">
        <v>Bhuvan</v>
      </c>
      <c r="Q89" t="str">
        <v>Pals</v>
      </c>
      <c r="R89" t="str">
        <v>Female</v>
      </c>
      <c r="S89" t="str">
        <v>Services</v>
      </c>
      <c r="T89">
        <v>89690.38</v>
      </c>
      <c r="U89" t="str">
        <v>50k to 100k</v>
      </c>
      <c r="V89">
        <v>43213</v>
      </c>
      <c r="W89">
        <v>1</v>
      </c>
      <c r="X89" t="str">
        <v>Permanent</v>
      </c>
      <c r="Y89" t="str">
        <v>Hyderabad, India</v>
      </c>
      <c r="Z89">
        <v>6.1671232876712327</v>
      </c>
      <c r="AA89" t="str">
        <v>Full time</v>
      </c>
    </row>
    <row r="90" spans="15:27" x14ac:dyDescent="0.25">
      <c r="O90" t="str">
        <v>SQ02638</v>
      </c>
      <c r="P90" t="str">
        <v>Cara</v>
      </c>
      <c r="Q90" t="str">
        <v>Havers</v>
      </c>
      <c r="R90" t="str">
        <v>Male</v>
      </c>
      <c r="S90" t="str">
        <v>Marketing</v>
      </c>
      <c r="T90">
        <v>89605.13</v>
      </c>
      <c r="U90" t="str">
        <v>50k to 100k</v>
      </c>
      <c r="V90">
        <v>43258</v>
      </c>
      <c r="W90">
        <v>1</v>
      </c>
      <c r="X90" t="str">
        <v>Permanent</v>
      </c>
      <c r="Y90" t="str">
        <v>Seattle, USA</v>
      </c>
      <c r="Z90">
        <v>6.043835616438356</v>
      </c>
      <c r="AA90" t="str">
        <v>Full time</v>
      </c>
    </row>
    <row r="91" spans="15:27" x14ac:dyDescent="0.25">
      <c r="O91" t="str">
        <v>TN01912</v>
      </c>
      <c r="P91" t="str">
        <v>Fred</v>
      </c>
      <c r="Q91" t="str">
        <v>Dudeney</v>
      </c>
      <c r="R91" t="str">
        <v>Male</v>
      </c>
      <c r="S91" t="str">
        <v>Services</v>
      </c>
      <c r="T91">
        <v>88689.09</v>
      </c>
      <c r="U91" t="str">
        <v>50k to 100k</v>
      </c>
      <c r="V91">
        <v>43740</v>
      </c>
      <c r="W91">
        <v>1</v>
      </c>
      <c r="X91" t="str">
        <v>Permanent</v>
      </c>
      <c r="Y91" t="str">
        <v>Seattle, USA</v>
      </c>
      <c r="Z91">
        <v>4.7232876712328764</v>
      </c>
      <c r="AA91" t="str">
        <v>Full time</v>
      </c>
    </row>
    <row r="92" spans="15:27" x14ac:dyDescent="0.25">
      <c r="O92" t="str">
        <v>TN01632</v>
      </c>
      <c r="P92" t="str">
        <v>Katya</v>
      </c>
      <c r="Q92" t="str">
        <v>Hundy</v>
      </c>
      <c r="R92" t="str">
        <v>Male</v>
      </c>
      <c r="S92" t="str">
        <v>Business Development</v>
      </c>
      <c r="T92">
        <v>88511.17</v>
      </c>
      <c r="U92" t="str">
        <v>50k to 100k</v>
      </c>
      <c r="V92">
        <v>43950</v>
      </c>
      <c r="W92">
        <v>1</v>
      </c>
      <c r="X92" t="str">
        <v>Permanent</v>
      </c>
      <c r="Y92" t="str">
        <v>Columbus, USA</v>
      </c>
      <c r="Z92">
        <v>4.1479452054794521</v>
      </c>
      <c r="AA92" t="str">
        <v>Full time</v>
      </c>
    </row>
    <row r="93" spans="15:27" x14ac:dyDescent="0.25">
      <c r="O93" t="str">
        <v>SQ02643</v>
      </c>
      <c r="P93" t="str">
        <v>Indu</v>
      </c>
      <c r="Q93" t="str">
        <v>Varada</v>
      </c>
      <c r="R93" t="str">
        <v>Female</v>
      </c>
      <c r="S93" t="str">
        <v>Engineering</v>
      </c>
      <c r="T93">
        <v>88425.08</v>
      </c>
      <c r="U93" t="str">
        <v>50k to 100k</v>
      </c>
      <c r="V93">
        <v>43662</v>
      </c>
      <c r="W93">
        <v>1</v>
      </c>
      <c r="X93" t="str">
        <v>Permanent</v>
      </c>
      <c r="Y93" t="str">
        <v>Hyderabad, India</v>
      </c>
      <c r="Z93">
        <v>4.9369863013698634</v>
      </c>
      <c r="AA93" t="str">
        <v>Full time</v>
      </c>
    </row>
    <row r="94" spans="15:27" x14ac:dyDescent="0.25">
      <c r="O94" t="str">
        <v>TN00698</v>
      </c>
      <c r="P94" t="str">
        <v>Barbara-anne</v>
      </c>
      <c r="Q94" t="str">
        <v>Kenchington</v>
      </c>
      <c r="R94" t="str">
        <v>Female</v>
      </c>
      <c r="S94" t="str">
        <v>Support</v>
      </c>
      <c r="T94">
        <v>88034.67</v>
      </c>
      <c r="U94" t="str">
        <v>50k to 100k</v>
      </c>
      <c r="V94">
        <v>43669</v>
      </c>
      <c r="W94">
        <v>1</v>
      </c>
      <c r="X94" t="str">
        <v>Permanent</v>
      </c>
      <c r="Y94" t="str">
        <v>Remote</v>
      </c>
      <c r="Z94">
        <v>4.9178082191780819</v>
      </c>
      <c r="AA94" t="str">
        <v>Full time</v>
      </c>
    </row>
    <row r="95" spans="15:27" x14ac:dyDescent="0.25">
      <c r="O95" t="str">
        <v>VT01523</v>
      </c>
      <c r="P95" t="str">
        <v>Charmane</v>
      </c>
      <c r="Q95" t="str">
        <v>Heistermann</v>
      </c>
      <c r="R95" t="str">
        <v>Female</v>
      </c>
      <c r="S95" t="str">
        <v>Business Development</v>
      </c>
      <c r="T95">
        <v>86558.58</v>
      </c>
      <c r="U95" t="str">
        <v>50k to 100k</v>
      </c>
      <c r="V95">
        <v>43887</v>
      </c>
      <c r="W95">
        <v>1</v>
      </c>
      <c r="X95" t="str">
        <v>Fixed Term</v>
      </c>
      <c r="Y95" t="str">
        <v>Remote</v>
      </c>
      <c r="Z95">
        <v>4.3205479452054796</v>
      </c>
      <c r="AA95" t="str">
        <v>Full time</v>
      </c>
    </row>
    <row r="96" spans="15:27" x14ac:dyDescent="0.25">
      <c r="O96" t="str">
        <v>SQ01177</v>
      </c>
      <c r="P96" t="str">
        <v>Nazeer</v>
      </c>
      <c r="Q96" t="str">
        <v>Basha</v>
      </c>
      <c r="R96" t="str">
        <v>Male</v>
      </c>
      <c r="S96" t="str">
        <v>Human Resources</v>
      </c>
      <c r="T96">
        <v>86556.96</v>
      </c>
      <c r="U96" t="str">
        <v>50k to 100k</v>
      </c>
      <c r="V96">
        <v>44104</v>
      </c>
      <c r="W96">
        <v>1</v>
      </c>
      <c r="X96" t="str">
        <v>Permanent</v>
      </c>
      <c r="Y96" t="str">
        <v>Hyderabad, India</v>
      </c>
      <c r="Z96">
        <v>3.7260273972602738</v>
      </c>
      <c r="AA96" t="str">
        <v>Full time</v>
      </c>
    </row>
    <row r="97" spans="15:27" x14ac:dyDescent="0.25">
      <c r="O97" t="str">
        <v>VT01323</v>
      </c>
      <c r="P97" t="str">
        <v>Mardav</v>
      </c>
      <c r="Q97" t="str">
        <v>Ramaswami</v>
      </c>
      <c r="R97" t="str">
        <v>Female</v>
      </c>
      <c r="S97" t="str">
        <v>Business Development</v>
      </c>
      <c r="T97">
        <v>86233.83</v>
      </c>
      <c r="U97" t="str">
        <v>50k to 100k</v>
      </c>
      <c r="V97">
        <v>43706</v>
      </c>
      <c r="W97">
        <v>1</v>
      </c>
      <c r="X97" t="str">
        <v>Fixed Term</v>
      </c>
      <c r="Y97" t="str">
        <v>Chennai, India</v>
      </c>
      <c r="Z97">
        <v>4.816438356164384</v>
      </c>
      <c r="AA97" t="str">
        <v>Full time</v>
      </c>
    </row>
    <row r="98" spans="15:27" x14ac:dyDescent="0.25">
      <c r="O98" t="str">
        <v>SQ00105</v>
      </c>
      <c r="P98" t="str">
        <v>Sarayu</v>
      </c>
      <c r="Q98" t="str">
        <v>Ragunathan</v>
      </c>
      <c r="R98" t="str">
        <v>Female</v>
      </c>
      <c r="S98" t="str">
        <v>Training</v>
      </c>
      <c r="T98">
        <v>86010.54</v>
      </c>
      <c r="U98" t="str">
        <v>50k to 100k</v>
      </c>
      <c r="V98">
        <v>43164</v>
      </c>
      <c r="W98">
        <v>1</v>
      </c>
      <c r="X98" t="str">
        <v>Permanent</v>
      </c>
      <c r="Y98" t="str">
        <v>Chennai, India</v>
      </c>
      <c r="Z98">
        <v>6.3013698630136989</v>
      </c>
      <c r="AA98" t="str">
        <v>Full time</v>
      </c>
    </row>
    <row r="99" spans="15:27" x14ac:dyDescent="0.25">
      <c r="O99" t="str">
        <v>PR01346</v>
      </c>
      <c r="P99" t="str">
        <v>Adolph</v>
      </c>
      <c r="Q99" t="str">
        <v>McNalley</v>
      </c>
      <c r="R99" t="str">
        <v>Male</v>
      </c>
      <c r="S99" t="str">
        <v>Business Development</v>
      </c>
      <c r="T99">
        <v>85918.61</v>
      </c>
      <c r="U99" t="str">
        <v>50k to 100k</v>
      </c>
      <c r="V99">
        <v>43136</v>
      </c>
      <c r="W99">
        <v>1</v>
      </c>
      <c r="X99" t="str">
        <v>Permanent</v>
      </c>
      <c r="Y99" t="str">
        <v>Columbus, USA</v>
      </c>
      <c r="Z99">
        <v>6.3780821917808215</v>
      </c>
      <c r="AA99" t="str">
        <v>Full time</v>
      </c>
    </row>
    <row r="100" spans="15:27" x14ac:dyDescent="0.25">
      <c r="O100" t="str">
        <v>SQ02246</v>
      </c>
      <c r="P100" t="str">
        <v>Matias</v>
      </c>
      <c r="Q100" t="str">
        <v>Cormack</v>
      </c>
      <c r="R100" t="str">
        <v>Male</v>
      </c>
      <c r="S100" t="str">
        <v>Research and Development</v>
      </c>
      <c r="T100">
        <v>85455.53</v>
      </c>
      <c r="U100" t="str">
        <v>50k to 100k</v>
      </c>
      <c r="V100">
        <v>43839</v>
      </c>
      <c r="W100">
        <v>1</v>
      </c>
      <c r="X100" t="str">
        <v>Permanent</v>
      </c>
      <c r="Y100" t="str">
        <v>Wellington, New Zealand</v>
      </c>
      <c r="Z100">
        <v>4.4520547945205475</v>
      </c>
      <c r="AA100" t="str">
        <v>Full time</v>
      </c>
    </row>
    <row r="101" spans="15:27" x14ac:dyDescent="0.25">
      <c r="O101" t="str">
        <v>SQ04613</v>
      </c>
      <c r="P101" t="str">
        <v>Sarojini</v>
      </c>
      <c r="Q101" t="str">
        <v>Naueshwara</v>
      </c>
      <c r="R101" t="str">
        <v>Female</v>
      </c>
      <c r="S101" t="str">
        <v>Human Resources</v>
      </c>
      <c r="T101">
        <v>85264.38</v>
      </c>
      <c r="U101" t="str">
        <v>50k to 100k</v>
      </c>
      <c r="V101">
        <v>43220</v>
      </c>
      <c r="W101">
        <v>1</v>
      </c>
      <c r="X101" t="str">
        <v>Permanent</v>
      </c>
      <c r="Y101" t="str">
        <v>Chennai, India</v>
      </c>
      <c r="Z101">
        <v>6.1479452054794521</v>
      </c>
      <c r="AA101" t="str">
        <v>Full time</v>
      </c>
    </row>
    <row r="102" spans="15:27" x14ac:dyDescent="0.25">
      <c r="O102" t="str">
        <v>TN02883</v>
      </c>
      <c r="P102" t="str">
        <v>John</v>
      </c>
      <c r="Q102" t="str">
        <v>Joseph</v>
      </c>
      <c r="R102" t="str">
        <v>Female</v>
      </c>
      <c r="S102" t="str">
        <v>Sales</v>
      </c>
      <c r="T102">
        <v>84762.76</v>
      </c>
      <c r="U102" t="str">
        <v>50k to 100k</v>
      </c>
      <c r="V102">
        <v>43332</v>
      </c>
      <c r="W102">
        <v>1</v>
      </c>
      <c r="X102" t="str">
        <v>Permanent</v>
      </c>
      <c r="Y102" t="str">
        <v>Hyderabad, India</v>
      </c>
      <c r="Z102">
        <v>5.8410958904109593</v>
      </c>
      <c r="AA102" t="str">
        <v>Full time</v>
      </c>
    </row>
    <row r="103" spans="15:27" x14ac:dyDescent="0.25">
      <c r="O103" t="str">
        <v>PR02957</v>
      </c>
      <c r="P103" t="str">
        <v>Vaughn</v>
      </c>
      <c r="Q103" t="str">
        <v>Carvill</v>
      </c>
      <c r="R103" t="str">
        <v>Female</v>
      </c>
      <c r="S103" t="str">
        <v>Training</v>
      </c>
      <c r="T103">
        <v>84745.93</v>
      </c>
      <c r="U103" t="str">
        <v>50k to 100k</v>
      </c>
      <c r="V103">
        <v>43707</v>
      </c>
      <c r="W103">
        <v>1</v>
      </c>
      <c r="X103" t="str">
        <v>Permanent</v>
      </c>
      <c r="Y103" t="str">
        <v>Wellington, New Zealand</v>
      </c>
      <c r="Z103">
        <v>4.8136986301369866</v>
      </c>
      <c r="AA103" t="str">
        <v>Full time</v>
      </c>
    </row>
    <row r="104" spans="15:27" x14ac:dyDescent="0.25">
      <c r="O104" t="str">
        <v>PR01306</v>
      </c>
      <c r="P104" t="str">
        <v>Patti</v>
      </c>
      <c r="Q104" t="str">
        <v>Dradey</v>
      </c>
      <c r="R104" t="str">
        <v>Male</v>
      </c>
      <c r="S104" t="str">
        <v>Services</v>
      </c>
      <c r="T104">
        <v>84742.86</v>
      </c>
      <c r="U104" t="str">
        <v>50k to 100k</v>
      </c>
      <c r="V104">
        <v>44098</v>
      </c>
      <c r="W104">
        <v>1</v>
      </c>
      <c r="X104" t="str">
        <v>Permanent</v>
      </c>
      <c r="Y104" t="str">
        <v>Auckland, New Zealand</v>
      </c>
      <c r="Z104">
        <v>3.7424657534246575</v>
      </c>
      <c r="AA104" t="str">
        <v>Full time</v>
      </c>
    </row>
    <row r="105" spans="15:27" x14ac:dyDescent="0.25">
      <c r="O105" t="str">
        <v>VT00596</v>
      </c>
      <c r="P105" t="str">
        <v>Letisha</v>
      </c>
      <c r="Q105" t="str">
        <v>Carrett</v>
      </c>
      <c r="R105" t="str">
        <v>Female</v>
      </c>
      <c r="S105" t="str">
        <v>Sales</v>
      </c>
      <c r="T105">
        <v>84598.88</v>
      </c>
      <c r="U105" t="str">
        <v>50k to 100k</v>
      </c>
      <c r="V105">
        <v>44116</v>
      </c>
      <c r="W105">
        <v>1</v>
      </c>
      <c r="X105" t="str">
        <v>Fixed Term</v>
      </c>
      <c r="Y105" t="str">
        <v>Seattle, USA</v>
      </c>
      <c r="Z105">
        <v>3.6931506849315068</v>
      </c>
      <c r="AA105" t="str">
        <v>Full time</v>
      </c>
    </row>
    <row r="106" spans="15:27" x14ac:dyDescent="0.25">
      <c r="O106" t="str">
        <v>VT00596</v>
      </c>
      <c r="P106" t="str">
        <v>Letisha</v>
      </c>
      <c r="Q106" t="str">
        <v>Carrett</v>
      </c>
      <c r="R106" t="str">
        <v>Female</v>
      </c>
      <c r="S106" t="str">
        <v>Sales</v>
      </c>
      <c r="T106">
        <v>84598.88</v>
      </c>
      <c r="U106" t="str">
        <v>50k to 100k</v>
      </c>
      <c r="V106">
        <v>44116</v>
      </c>
      <c r="W106">
        <v>1</v>
      </c>
      <c r="X106" t="str">
        <v>Fixed Term</v>
      </c>
      <c r="Y106" t="str">
        <v>Seattle, USA</v>
      </c>
      <c r="Z106">
        <v>3.6931506849315068</v>
      </c>
      <c r="AA106" t="str">
        <v>Full time</v>
      </c>
    </row>
    <row r="107" spans="15:27" x14ac:dyDescent="0.25">
      <c r="O107" t="str">
        <v>PR00916</v>
      </c>
      <c r="P107" t="str">
        <v>Inger</v>
      </c>
      <c r="Q107" t="str">
        <v>Chapelhow</v>
      </c>
      <c r="R107" t="str">
        <v>Female</v>
      </c>
      <c r="S107" t="str">
        <v>Research and Development</v>
      </c>
      <c r="T107">
        <v>84309.95</v>
      </c>
      <c r="U107" t="str">
        <v>50k to 100k</v>
      </c>
      <c r="V107">
        <v>44501</v>
      </c>
      <c r="W107">
        <v>1</v>
      </c>
      <c r="X107" t="str">
        <v>Permanent</v>
      </c>
      <c r="Y107" t="str">
        <v>Remote</v>
      </c>
      <c r="Z107">
        <v>2.6383561643835618</v>
      </c>
      <c r="AA107" t="str">
        <v>Full time</v>
      </c>
    </row>
    <row r="108" spans="15:27" x14ac:dyDescent="0.25">
      <c r="O108" t="str">
        <v>VT03993</v>
      </c>
      <c r="P108" t="str">
        <v>Dulce</v>
      </c>
      <c r="Q108" t="str">
        <v>Colbeck</v>
      </c>
      <c r="R108" t="str">
        <v>Male</v>
      </c>
      <c r="S108" t="str">
        <v>Human Resources</v>
      </c>
      <c r="T108">
        <v>83396.5</v>
      </c>
      <c r="U108" t="str">
        <v>50k to 100k</v>
      </c>
      <c r="V108">
        <v>44285</v>
      </c>
      <c r="W108">
        <v>1</v>
      </c>
      <c r="X108" t="str">
        <v>Temporary</v>
      </c>
      <c r="Y108" t="str">
        <v>Auckland, New Zealand</v>
      </c>
      <c r="Z108">
        <v>3.2301369863013698</v>
      </c>
      <c r="AA108" t="str">
        <v>Full time</v>
      </c>
    </row>
    <row r="109" spans="15:27" x14ac:dyDescent="0.25">
      <c r="O109" t="str">
        <v>VT03307</v>
      </c>
      <c r="P109" t="str">
        <v>Tallie</v>
      </c>
      <c r="Q109" t="str">
        <v>Chaikovski</v>
      </c>
      <c r="R109" t="str">
        <v>Male</v>
      </c>
      <c r="S109" t="str">
        <v>Sales</v>
      </c>
      <c r="T109">
        <v>83191.95</v>
      </c>
      <c r="U109" t="str">
        <v>50k to 100k</v>
      </c>
      <c r="V109">
        <v>43700</v>
      </c>
      <c r="W109">
        <v>0.6</v>
      </c>
      <c r="X109" t="str">
        <v>Temporary</v>
      </c>
      <c r="Y109" t="str">
        <v>Remote</v>
      </c>
      <c r="Z109">
        <v>4.8328767123287673</v>
      </c>
      <c r="AA109" t="str">
        <v>Part time</v>
      </c>
    </row>
    <row r="110" spans="15:27" x14ac:dyDescent="0.25">
      <c r="O110" t="str">
        <v>VT03298</v>
      </c>
      <c r="P110" t="str">
        <v>Nonah</v>
      </c>
      <c r="Q110" t="str">
        <v>Bissell</v>
      </c>
      <c r="R110" t="str">
        <v>Male</v>
      </c>
      <c r="S110" t="str">
        <v>Engineering</v>
      </c>
      <c r="T110">
        <v>82239.53</v>
      </c>
      <c r="U110" t="str">
        <v>50k to 100k</v>
      </c>
      <c r="V110">
        <v>43846</v>
      </c>
      <c r="W110">
        <v>1</v>
      </c>
      <c r="X110" t="str">
        <v>Temporary</v>
      </c>
      <c r="Y110" t="str">
        <v>Columbus, USA</v>
      </c>
      <c r="Z110">
        <v>4.4328767123287669</v>
      </c>
      <c r="AA110" t="str">
        <v>Full time</v>
      </c>
    </row>
    <row r="111" spans="15:27" x14ac:dyDescent="0.25">
      <c r="O111" t="str">
        <v>PR02321</v>
      </c>
      <c r="P111" t="str">
        <v>Evanne</v>
      </c>
      <c r="Q111" t="str">
        <v>Sheryn</v>
      </c>
      <c r="R111" t="str">
        <v>Female</v>
      </c>
      <c r="S111" t="str">
        <v>Services</v>
      </c>
      <c r="T111">
        <v>81897.789999999994</v>
      </c>
      <c r="U111" t="str">
        <v>50k to 100k</v>
      </c>
      <c r="V111">
        <v>43146</v>
      </c>
      <c r="W111">
        <v>1</v>
      </c>
      <c r="X111" t="str">
        <v>Permanent</v>
      </c>
      <c r="Y111" t="str">
        <v>Auckland, New Zealand</v>
      </c>
      <c r="Z111">
        <v>6.3506849315068497</v>
      </c>
      <c r="AA111" t="str">
        <v>Full time</v>
      </c>
    </row>
    <row r="112" spans="15:27" x14ac:dyDescent="0.25">
      <c r="O112" t="str">
        <v>VT03771</v>
      </c>
      <c r="P112" t="str">
        <v>Marjie</v>
      </c>
      <c r="Q112" t="str">
        <v>Bamford</v>
      </c>
      <c r="R112" t="str">
        <v>Male</v>
      </c>
      <c r="S112" t="str">
        <v>Sales</v>
      </c>
      <c r="T112">
        <v>80772.92</v>
      </c>
      <c r="U112" t="str">
        <v>50k to 100k</v>
      </c>
      <c r="V112">
        <v>44137</v>
      </c>
      <c r="W112">
        <v>1</v>
      </c>
      <c r="X112" t="str">
        <v>Temporary</v>
      </c>
      <c r="Y112" t="str">
        <v>Remote</v>
      </c>
      <c r="Z112">
        <v>3.6356164383561644</v>
      </c>
      <c r="AA112" t="str">
        <v>Full time</v>
      </c>
    </row>
    <row r="113" spans="15:27" x14ac:dyDescent="0.25">
      <c r="O113" t="str">
        <v>PR00113</v>
      </c>
      <c r="P113" t="str">
        <v>Van</v>
      </c>
      <c r="Q113" t="str">
        <v>Tuxwell</v>
      </c>
      <c r="R113" t="str">
        <v>Female</v>
      </c>
      <c r="S113" t="str">
        <v>Business Growth</v>
      </c>
      <c r="T113">
        <v>80695.740000000005</v>
      </c>
      <c r="U113" t="str">
        <v>50k to 100k</v>
      </c>
      <c r="V113">
        <v>43360</v>
      </c>
      <c r="W113">
        <v>1</v>
      </c>
      <c r="X113" t="str">
        <v>Permanent</v>
      </c>
      <c r="Y113" t="str">
        <v>Columbus, USA</v>
      </c>
      <c r="Z113">
        <v>5.7643835616438359</v>
      </c>
      <c r="AA113" t="str">
        <v>Full time</v>
      </c>
    </row>
    <row r="114" spans="15:27" x14ac:dyDescent="0.25">
      <c r="O114" t="str">
        <v>PR00113</v>
      </c>
      <c r="P114" t="str">
        <v>Van</v>
      </c>
      <c r="Q114" t="str">
        <v>Tuxwell</v>
      </c>
      <c r="R114" t="str">
        <v>Female</v>
      </c>
      <c r="S114" t="str">
        <v>Business Development</v>
      </c>
      <c r="T114">
        <v>80695.740000000005</v>
      </c>
      <c r="U114" t="str">
        <v>50k to 100k</v>
      </c>
      <c r="V114">
        <v>43360</v>
      </c>
      <c r="W114">
        <v>1</v>
      </c>
      <c r="X114" t="str">
        <v>Permanent</v>
      </c>
      <c r="Y114" t="str">
        <v>Columbus, USA</v>
      </c>
      <c r="Z114">
        <v>5.7643835616438359</v>
      </c>
      <c r="AA114" t="str">
        <v>Full time</v>
      </c>
    </row>
    <row r="115" spans="15:27" x14ac:dyDescent="0.25">
      <c r="O115" t="str">
        <v>PR04380</v>
      </c>
      <c r="P115" t="str">
        <v>Van</v>
      </c>
      <c r="Q115" t="str">
        <v>Tuxwell</v>
      </c>
      <c r="R115" t="str">
        <v>Female</v>
      </c>
      <c r="S115" t="str">
        <v>Business Development</v>
      </c>
      <c r="T115">
        <v>80695.740000000005</v>
      </c>
      <c r="U115" t="str">
        <v>50k to 100k</v>
      </c>
      <c r="V115">
        <v>43787</v>
      </c>
      <c r="W115">
        <v>0.8</v>
      </c>
      <c r="X115" t="str">
        <v>Permanent</v>
      </c>
      <c r="Y115" t="str">
        <v>Columbus, USA</v>
      </c>
      <c r="Z115">
        <v>4.5945205479452058</v>
      </c>
      <c r="AA115" t="str">
        <v>Part time</v>
      </c>
    </row>
    <row r="116" spans="15:27" x14ac:dyDescent="0.25">
      <c r="O116" t="str">
        <v>TN01566</v>
      </c>
      <c r="P116" t="str">
        <v>Fonzie</v>
      </c>
      <c r="Q116" t="str">
        <v>O'Shea</v>
      </c>
      <c r="R116" t="str">
        <v>Male</v>
      </c>
      <c r="S116" t="str">
        <v>Product Management</v>
      </c>
      <c r="T116">
        <v>80360.41</v>
      </c>
      <c r="U116" t="str">
        <v>50k to 100k</v>
      </c>
      <c r="V116">
        <v>44167</v>
      </c>
      <c r="W116">
        <v>1</v>
      </c>
      <c r="X116" t="str">
        <v>Permanent</v>
      </c>
      <c r="Y116" t="str">
        <v>Remote</v>
      </c>
      <c r="Z116">
        <v>3.5534246575342467</v>
      </c>
      <c r="AA116" t="str">
        <v>Full time</v>
      </c>
    </row>
    <row r="117" spans="15:27" x14ac:dyDescent="0.25">
      <c r="O117" t="str">
        <v>TN01876</v>
      </c>
      <c r="P117" t="str">
        <v>Aileen</v>
      </c>
      <c r="Q117" t="str">
        <v>McCritchie</v>
      </c>
      <c r="R117" t="str">
        <v>Male</v>
      </c>
      <c r="S117" t="str">
        <v>Business Development</v>
      </c>
      <c r="T117">
        <v>80169.42</v>
      </c>
      <c r="U117" t="str">
        <v>50k to 100k</v>
      </c>
      <c r="V117">
        <v>44053</v>
      </c>
      <c r="W117">
        <v>1</v>
      </c>
      <c r="X117" t="str">
        <v>Permanent</v>
      </c>
      <c r="Y117" t="str">
        <v>Auckland, New Zealand</v>
      </c>
      <c r="Z117">
        <v>3.8657534246575342</v>
      </c>
      <c r="AA117" t="str">
        <v>Full time</v>
      </c>
    </row>
    <row r="118" spans="15:27" x14ac:dyDescent="0.25">
      <c r="O118" t="str">
        <v>TN01876</v>
      </c>
      <c r="P118" t="str">
        <v>Aileen</v>
      </c>
      <c r="Q118" t="str">
        <v>McCritchie</v>
      </c>
      <c r="R118" t="str">
        <v>Male</v>
      </c>
      <c r="S118" t="str">
        <v>Business Development</v>
      </c>
      <c r="T118">
        <v>80169.42</v>
      </c>
      <c r="U118" t="str">
        <v>50k to 100k</v>
      </c>
      <c r="V118">
        <v>44053</v>
      </c>
      <c r="W118">
        <v>1</v>
      </c>
      <c r="X118" t="str">
        <v>Permanent</v>
      </c>
      <c r="Y118" t="str">
        <v>Auckland, New Zealand</v>
      </c>
      <c r="Z118">
        <v>3.8657534246575342</v>
      </c>
      <c r="AA118" t="str">
        <v>Full time</v>
      </c>
    </row>
    <row r="119" spans="15:27" x14ac:dyDescent="0.25">
      <c r="O119" t="str">
        <v>TN03210</v>
      </c>
      <c r="P119" t="str">
        <v>Suman</v>
      </c>
      <c r="Q119" t="str">
        <v>Katte</v>
      </c>
      <c r="R119" t="str">
        <v>Male</v>
      </c>
      <c r="S119" t="str">
        <v>Training</v>
      </c>
      <c r="T119">
        <v>79567.69</v>
      </c>
      <c r="U119" t="str">
        <v>50k to 100k</v>
      </c>
      <c r="V119">
        <v>43272</v>
      </c>
      <c r="W119">
        <v>1</v>
      </c>
      <c r="X119" t="str">
        <v>Fixed Term</v>
      </c>
      <c r="Y119" t="str">
        <v>Chennai, India</v>
      </c>
      <c r="Z119">
        <v>6.0054794520547947</v>
      </c>
      <c r="AA119" t="str">
        <v>Full time</v>
      </c>
    </row>
    <row r="120" spans="15:27" x14ac:dyDescent="0.25">
      <c r="O120" t="str">
        <v>VT04137</v>
      </c>
      <c r="P120" t="str">
        <v>Marissa</v>
      </c>
      <c r="Q120" t="str">
        <v>Infante</v>
      </c>
      <c r="R120" t="str">
        <v>Need to check</v>
      </c>
      <c r="S120" t="str">
        <v>Training</v>
      </c>
      <c r="T120">
        <v>78840.23</v>
      </c>
      <c r="U120" t="str">
        <v>50k to 100k</v>
      </c>
      <c r="V120">
        <v>43633</v>
      </c>
      <c r="W120">
        <v>1</v>
      </c>
      <c r="X120" t="str">
        <v>Temporary</v>
      </c>
      <c r="Y120" t="str">
        <v>Remote</v>
      </c>
      <c r="Z120">
        <v>5.0164383561643833</v>
      </c>
      <c r="AA120" t="str">
        <v>Full time</v>
      </c>
    </row>
    <row r="121" spans="15:27" x14ac:dyDescent="0.25">
      <c r="O121" t="str">
        <v>TN03355</v>
      </c>
      <c r="P121" t="str">
        <v>Ruby</v>
      </c>
      <c r="Q121" t="str">
        <v>Cracie</v>
      </c>
      <c r="R121" t="str">
        <v>Male</v>
      </c>
      <c r="S121" t="str">
        <v>Research and Development</v>
      </c>
      <c r="T121">
        <v>78705.929999999993</v>
      </c>
      <c r="U121" t="str">
        <v>50k to 100k</v>
      </c>
      <c r="V121">
        <v>43409</v>
      </c>
      <c r="W121">
        <v>1</v>
      </c>
      <c r="X121" t="str">
        <v>Fixed Term</v>
      </c>
      <c r="Y121" t="str">
        <v>Seattle, USA</v>
      </c>
      <c r="Z121">
        <v>5.6301369863013697</v>
      </c>
      <c r="AA121" t="str">
        <v>Full time</v>
      </c>
    </row>
    <row r="122" spans="15:27" x14ac:dyDescent="0.25">
      <c r="O122" t="str">
        <v>VT00687</v>
      </c>
      <c r="P122" t="str">
        <v>Godavari</v>
      </c>
      <c r="Q122" t="str">
        <v>Veena</v>
      </c>
      <c r="R122" t="str">
        <v>Male</v>
      </c>
      <c r="S122" t="str">
        <v>Engineering</v>
      </c>
      <c r="T122">
        <v>78443.78</v>
      </c>
      <c r="U122" t="str">
        <v>50k to 100k</v>
      </c>
      <c r="V122">
        <v>43599</v>
      </c>
      <c r="W122">
        <v>1</v>
      </c>
      <c r="X122" t="str">
        <v>Fixed Term</v>
      </c>
      <c r="Y122" t="str">
        <v>Hyderabad, India</v>
      </c>
      <c r="Z122">
        <v>5.1095890410958908</v>
      </c>
      <c r="AA122" t="str">
        <v>Full time</v>
      </c>
    </row>
    <row r="123" spans="15:27" x14ac:dyDescent="0.25">
      <c r="O123" t="str">
        <v>PR02436</v>
      </c>
      <c r="P123" t="str">
        <v>Marmaduke</v>
      </c>
      <c r="Q123" t="str">
        <v>Worssam</v>
      </c>
      <c r="R123" t="str">
        <v>Female</v>
      </c>
      <c r="S123" t="str">
        <v>Engineering</v>
      </c>
      <c r="T123">
        <v>78378.2</v>
      </c>
      <c r="U123" t="str">
        <v>50k to 100k</v>
      </c>
      <c r="V123">
        <v>43465</v>
      </c>
      <c r="W123">
        <v>0.4</v>
      </c>
      <c r="X123" t="str">
        <v>Permanent</v>
      </c>
      <c r="Y123" t="str">
        <v>Remote</v>
      </c>
      <c r="Z123">
        <v>5.4767123287671229</v>
      </c>
      <c r="AA123" t="str">
        <v>Part time</v>
      </c>
    </row>
    <row r="124" spans="15:27" x14ac:dyDescent="0.25">
      <c r="O124" t="str">
        <v>SQ03625</v>
      </c>
      <c r="P124" t="str">
        <v>Fidela</v>
      </c>
      <c r="Q124" t="str">
        <v>Artis</v>
      </c>
      <c r="R124" t="str">
        <v>Female</v>
      </c>
      <c r="S124" t="str">
        <v>Sales</v>
      </c>
      <c r="T124">
        <v>78020.39</v>
      </c>
      <c r="U124" t="str">
        <v>50k to 100k</v>
      </c>
      <c r="V124">
        <v>43899</v>
      </c>
      <c r="W124">
        <v>1</v>
      </c>
      <c r="X124" t="str">
        <v>Permanent</v>
      </c>
      <c r="Y124" t="str">
        <v>Remote</v>
      </c>
      <c r="Z124">
        <v>4.2876712328767121</v>
      </c>
      <c r="AA124" t="str">
        <v>Full time</v>
      </c>
    </row>
    <row r="125" spans="15:27" x14ac:dyDescent="0.25">
      <c r="O125" t="str">
        <v>SQ03112</v>
      </c>
      <c r="P125" t="str">
        <v>Kantimoy</v>
      </c>
      <c r="Q125" t="str">
        <v>Pritish</v>
      </c>
      <c r="R125" t="str">
        <v>Male</v>
      </c>
      <c r="S125" t="str">
        <v>Product Management</v>
      </c>
      <c r="T125">
        <v>77743.149999999994</v>
      </c>
      <c r="U125" t="str">
        <v>50k to 100k</v>
      </c>
      <c r="V125">
        <v>43920</v>
      </c>
      <c r="W125">
        <v>1</v>
      </c>
      <c r="X125" t="str">
        <v>Permanent</v>
      </c>
      <c r="Y125" t="str">
        <v>Chennai, India</v>
      </c>
      <c r="Z125">
        <v>4.2301369863013702</v>
      </c>
      <c r="AA125" t="str">
        <v>Full time</v>
      </c>
    </row>
    <row r="126" spans="15:27" x14ac:dyDescent="0.25">
      <c r="O126" t="str">
        <v>PR01476</v>
      </c>
      <c r="P126" t="str">
        <v>Jaishree</v>
      </c>
      <c r="Q126" t="str">
        <v>Atasi</v>
      </c>
      <c r="R126" t="str">
        <v>Male</v>
      </c>
      <c r="S126" t="str">
        <v>Services</v>
      </c>
      <c r="T126">
        <v>77096.05</v>
      </c>
      <c r="U126" t="str">
        <v>50k to 100k</v>
      </c>
      <c r="V126">
        <v>43217</v>
      </c>
      <c r="W126">
        <v>1</v>
      </c>
      <c r="X126" t="str">
        <v>Permanent</v>
      </c>
      <c r="Y126" t="str">
        <v>Chennai, India</v>
      </c>
      <c r="Z126">
        <v>6.1561643835616442</v>
      </c>
      <c r="AA126" t="str">
        <v>Full time</v>
      </c>
    </row>
    <row r="127" spans="15:27" x14ac:dyDescent="0.25">
      <c r="O127" t="str">
        <v>PR04851</v>
      </c>
      <c r="P127" t="str">
        <v>Rodina</v>
      </c>
      <c r="Q127" t="str">
        <v>Drinan</v>
      </c>
      <c r="R127" t="str">
        <v>Female</v>
      </c>
      <c r="S127" t="str">
        <v>Sales</v>
      </c>
      <c r="T127">
        <v>77045.440000000002</v>
      </c>
      <c r="U127" t="str">
        <v>50k to 100k</v>
      </c>
      <c r="V127">
        <v>43636</v>
      </c>
      <c r="W127">
        <v>1</v>
      </c>
      <c r="X127" t="str">
        <v>Permanent</v>
      </c>
      <c r="Y127" t="str">
        <v>Remote</v>
      </c>
      <c r="Z127">
        <v>5.0082191780821921</v>
      </c>
      <c r="AA127" t="str">
        <v>Full time</v>
      </c>
    </row>
    <row r="128" spans="15:27" x14ac:dyDescent="0.25">
      <c r="O128" t="str">
        <v>SQ04488</v>
      </c>
      <c r="P128" t="str">
        <v>Ramnath</v>
      </c>
      <c r="Q128" t="str">
        <v>Ravuri</v>
      </c>
      <c r="R128" t="str">
        <v>Male</v>
      </c>
      <c r="S128" t="str">
        <v>Marketing</v>
      </c>
      <c r="T128">
        <v>76932.600000000006</v>
      </c>
      <c r="U128" t="str">
        <v>50k to 100k</v>
      </c>
      <c r="V128">
        <v>43493</v>
      </c>
      <c r="W128">
        <v>1</v>
      </c>
      <c r="X128" t="str">
        <v>Permanent</v>
      </c>
      <c r="Y128" t="str">
        <v>Hyderabad, India</v>
      </c>
      <c r="Z128">
        <v>5.4</v>
      </c>
      <c r="AA128" t="str">
        <v>Full time</v>
      </c>
    </row>
    <row r="129" spans="15:27" x14ac:dyDescent="0.25">
      <c r="O129" t="str">
        <v>VT04627</v>
      </c>
      <c r="P129" t="str">
        <v>Yvette</v>
      </c>
      <c r="Q129" t="str">
        <v>Bett</v>
      </c>
      <c r="R129" t="str">
        <v>Male</v>
      </c>
      <c r="S129" t="str">
        <v>Human Resources</v>
      </c>
      <c r="T129">
        <v>76320.44</v>
      </c>
      <c r="U129" t="str">
        <v>50k to 100k</v>
      </c>
      <c r="V129">
        <v>44383</v>
      </c>
      <c r="W129">
        <v>0.8</v>
      </c>
      <c r="X129" t="str">
        <v>Temporary</v>
      </c>
      <c r="Y129" t="str">
        <v>Remote</v>
      </c>
      <c r="Z129">
        <v>2.9616438356164383</v>
      </c>
      <c r="AA129" t="str">
        <v>Part time</v>
      </c>
    </row>
    <row r="130" spans="15:27" x14ac:dyDescent="0.25">
      <c r="O130" t="str">
        <v>VT01610</v>
      </c>
      <c r="P130" t="str">
        <v>Dhruv</v>
      </c>
      <c r="Q130" t="str">
        <v>Manjunath</v>
      </c>
      <c r="R130" t="str">
        <v>Female</v>
      </c>
      <c r="S130" t="str">
        <v>Accounting</v>
      </c>
      <c r="T130">
        <v>76303.820000000007</v>
      </c>
      <c r="U130" t="str">
        <v>50k to 100k</v>
      </c>
      <c r="V130">
        <v>43458</v>
      </c>
      <c r="W130">
        <v>1</v>
      </c>
      <c r="X130" t="str">
        <v>Fixed Term</v>
      </c>
      <c r="Y130" t="str">
        <v>Hyderabad, India</v>
      </c>
      <c r="Z130">
        <v>5.4958904109589044</v>
      </c>
      <c r="AA130" t="str">
        <v>Full time</v>
      </c>
    </row>
    <row r="131" spans="15:27" x14ac:dyDescent="0.25">
      <c r="O131" t="str">
        <v>VT01610</v>
      </c>
      <c r="P131" t="str">
        <v>Kunja</v>
      </c>
      <c r="Q131" t="str">
        <v>Prashanta</v>
      </c>
      <c r="R131" t="str">
        <v>Female</v>
      </c>
      <c r="S131" t="str">
        <v>Accounting</v>
      </c>
      <c r="T131">
        <v>76303.820000000007</v>
      </c>
      <c r="U131" t="str">
        <v>50k to 100k</v>
      </c>
      <c r="V131">
        <v>43458</v>
      </c>
      <c r="W131">
        <v>1</v>
      </c>
      <c r="X131" t="str">
        <v>Fixed Term</v>
      </c>
      <c r="Y131" t="str">
        <v>Hyderabad, India</v>
      </c>
      <c r="Z131">
        <v>5.4958904109589044</v>
      </c>
      <c r="AA131" t="str">
        <v>Full time</v>
      </c>
    </row>
    <row r="132" spans="15:27" x14ac:dyDescent="0.25">
      <c r="O132" t="str">
        <v>PR02113</v>
      </c>
      <c r="P132" t="str">
        <v>Beverie</v>
      </c>
      <c r="Q132" t="str">
        <v>Moffet</v>
      </c>
      <c r="R132" t="str">
        <v>Female</v>
      </c>
      <c r="S132" t="str">
        <v>Support</v>
      </c>
      <c r="T132">
        <v>75974.990000000005</v>
      </c>
      <c r="U132" t="str">
        <v>50k to 100k</v>
      </c>
      <c r="V132">
        <v>44172</v>
      </c>
      <c r="W132">
        <v>1</v>
      </c>
      <c r="X132" t="str">
        <v>Permanent</v>
      </c>
      <c r="Y132" t="str">
        <v>Remote</v>
      </c>
      <c r="Z132">
        <v>3.5397260273972604</v>
      </c>
      <c r="AA132" t="str">
        <v>Full time</v>
      </c>
    </row>
    <row r="133" spans="15:27" x14ac:dyDescent="0.25">
      <c r="O133" t="str">
        <v>SQ03546</v>
      </c>
      <c r="P133" t="str">
        <v>Amlankusum</v>
      </c>
      <c r="Q133" t="str">
        <v>Rajabhushan</v>
      </c>
      <c r="R133" t="str">
        <v>Female</v>
      </c>
      <c r="S133" t="str">
        <v>Legal</v>
      </c>
      <c r="T133">
        <v>75733.740000000005</v>
      </c>
      <c r="U133" t="str">
        <v>50k to 100k</v>
      </c>
      <c r="V133">
        <v>44382</v>
      </c>
      <c r="W133">
        <v>1</v>
      </c>
      <c r="X133" t="str">
        <v>Permanent</v>
      </c>
      <c r="Y133" t="str">
        <v>Hyderabad, India</v>
      </c>
      <c r="Z133">
        <v>2.9643835616438357</v>
      </c>
      <c r="AA133" t="str">
        <v>Full time</v>
      </c>
    </row>
    <row r="134" spans="15:27" x14ac:dyDescent="0.25">
      <c r="O134" t="str">
        <v>TN00182</v>
      </c>
      <c r="P134" t="str">
        <v>Camilla</v>
      </c>
      <c r="Q134" t="str">
        <v>Castle</v>
      </c>
      <c r="R134" t="str">
        <v>Female</v>
      </c>
      <c r="S134" t="str">
        <v>Product Management</v>
      </c>
      <c r="T134">
        <v>75475.929999999993</v>
      </c>
      <c r="U134" t="str">
        <v>50k to 100k</v>
      </c>
      <c r="V134">
        <v>43794</v>
      </c>
      <c r="W134">
        <v>1</v>
      </c>
      <c r="X134" t="str">
        <v>Permanent</v>
      </c>
      <c r="Y134" t="str">
        <v>Remote</v>
      </c>
      <c r="Z134">
        <v>4.5753424657534243</v>
      </c>
      <c r="AA134" t="str">
        <v>Full time</v>
      </c>
    </row>
    <row r="135" spans="15:27" x14ac:dyDescent="0.25">
      <c r="O135" t="str">
        <v>SQ01026</v>
      </c>
      <c r="P135" t="str">
        <v>Anumati</v>
      </c>
      <c r="Q135" t="str">
        <v>Shyamari</v>
      </c>
      <c r="R135" t="str">
        <v>Male</v>
      </c>
      <c r="S135" t="str">
        <v>Product Management</v>
      </c>
      <c r="T135">
        <v>74924.649999999994</v>
      </c>
      <c r="U135" t="str">
        <v>50k to 100k</v>
      </c>
      <c r="V135">
        <v>44239</v>
      </c>
      <c r="W135">
        <v>1</v>
      </c>
      <c r="X135" t="str">
        <v>Permanent</v>
      </c>
      <c r="Y135" t="str">
        <v>Hyderabad, India</v>
      </c>
      <c r="Z135">
        <v>3.3561643835616439</v>
      </c>
      <c r="AA135" t="str">
        <v>Full time</v>
      </c>
    </row>
    <row r="136" spans="15:27" x14ac:dyDescent="0.25">
      <c r="O136" t="str">
        <v>SQ00612</v>
      </c>
      <c r="P136" t="str">
        <v>Leena</v>
      </c>
      <c r="Q136" t="str">
        <v>Bruckshaw</v>
      </c>
      <c r="R136" t="str">
        <v>Male</v>
      </c>
      <c r="S136" t="str">
        <v>Research and Development</v>
      </c>
      <c r="T136">
        <v>74279.009999999995</v>
      </c>
      <c r="U136" t="str">
        <v>50k to 100k</v>
      </c>
      <c r="V136">
        <v>43466</v>
      </c>
      <c r="W136">
        <v>1</v>
      </c>
      <c r="X136" t="str">
        <v>Permanent</v>
      </c>
      <c r="Y136" t="str">
        <v>Wellington, New Zealand</v>
      </c>
      <c r="Z136">
        <v>5.4739726027397264</v>
      </c>
      <c r="AA136" t="str">
        <v>Full time</v>
      </c>
    </row>
    <row r="137" spans="15:27" x14ac:dyDescent="0.25">
      <c r="O137" t="str">
        <v>TN04067</v>
      </c>
      <c r="P137" t="str">
        <v>Lea</v>
      </c>
      <c r="Q137" t="str">
        <v>Chaplin</v>
      </c>
      <c r="R137" t="str">
        <v>Female</v>
      </c>
      <c r="S137" t="str">
        <v>Human Resources</v>
      </c>
      <c r="T137">
        <v>73488.679999999993</v>
      </c>
      <c r="U137" t="str">
        <v>50k to 100k</v>
      </c>
      <c r="V137">
        <v>43570</v>
      </c>
      <c r="W137">
        <v>1</v>
      </c>
      <c r="X137" t="str">
        <v>Fixed Term</v>
      </c>
      <c r="Y137" t="str">
        <v>Seattle, USA</v>
      </c>
      <c r="Z137">
        <v>5.1890410958904107</v>
      </c>
      <c r="AA137" t="str">
        <v>Full time</v>
      </c>
    </row>
    <row r="138" spans="15:27" x14ac:dyDescent="0.25">
      <c r="O138" t="str">
        <v>VT03537</v>
      </c>
      <c r="P138" t="str">
        <v>Renaldo</v>
      </c>
      <c r="Q138" t="str">
        <v>Thomassin</v>
      </c>
      <c r="R138" t="str">
        <v>Male</v>
      </c>
      <c r="S138" t="str">
        <v>Business Development</v>
      </c>
      <c r="T138">
        <v>73360.38</v>
      </c>
      <c r="U138" t="str">
        <v>50k to 100k</v>
      </c>
      <c r="V138">
        <v>43972</v>
      </c>
      <c r="W138">
        <v>1</v>
      </c>
      <c r="X138" t="str">
        <v>Temporary</v>
      </c>
      <c r="Y138" t="str">
        <v>Remote</v>
      </c>
      <c r="Z138">
        <v>4.087671232876712</v>
      </c>
      <c r="AA138" t="str">
        <v>Full time</v>
      </c>
    </row>
    <row r="139" spans="15:27" x14ac:dyDescent="0.25">
      <c r="O139" t="str">
        <v>VT03537</v>
      </c>
      <c r="P139" t="str">
        <v>Renaldo</v>
      </c>
      <c r="Q139" t="str">
        <v>Thomassin</v>
      </c>
      <c r="R139" t="str">
        <v>Male</v>
      </c>
      <c r="S139" t="str">
        <v>Business Development</v>
      </c>
      <c r="T139">
        <v>73360.38</v>
      </c>
      <c r="U139" t="str">
        <v>50k to 100k</v>
      </c>
      <c r="V139">
        <v>43972</v>
      </c>
      <c r="W139">
        <v>1</v>
      </c>
      <c r="X139" t="str">
        <v>Temporary</v>
      </c>
      <c r="Y139" t="str">
        <v>Remote</v>
      </c>
      <c r="Z139">
        <v>4.087671232876712</v>
      </c>
      <c r="AA139" t="str">
        <v>Full time</v>
      </c>
    </row>
    <row r="140" spans="15:27" x14ac:dyDescent="0.25">
      <c r="O140" t="str">
        <v>PR03532</v>
      </c>
      <c r="P140" t="str">
        <v>Crawford</v>
      </c>
      <c r="Q140" t="str">
        <v>Scad</v>
      </c>
      <c r="R140" t="str">
        <v>Male</v>
      </c>
      <c r="S140" t="str">
        <v>Human Resources</v>
      </c>
      <c r="T140">
        <v>72876.91</v>
      </c>
      <c r="U140" t="str">
        <v>50k to 100k</v>
      </c>
      <c r="V140">
        <v>43837</v>
      </c>
      <c r="W140">
        <v>1</v>
      </c>
      <c r="X140" t="str">
        <v>Permanent</v>
      </c>
      <c r="Y140" t="str">
        <v>Remote</v>
      </c>
      <c r="Z140">
        <v>4.4575342465753423</v>
      </c>
      <c r="AA140" t="str">
        <v>Full time</v>
      </c>
    </row>
    <row r="141" spans="15:27" x14ac:dyDescent="0.25">
      <c r="O141" t="str">
        <v>TN03331</v>
      </c>
      <c r="P141" t="str">
        <v>Crawford</v>
      </c>
      <c r="Q141" t="str">
        <v>Scad</v>
      </c>
      <c r="R141" t="str">
        <v>Male</v>
      </c>
      <c r="S141" t="str">
        <v>Human Resources</v>
      </c>
      <c r="T141">
        <v>72876.91</v>
      </c>
      <c r="U141" t="str">
        <v>50k to 100k</v>
      </c>
      <c r="V141">
        <v>43612</v>
      </c>
      <c r="W141">
        <v>0.4</v>
      </c>
      <c r="X141" t="str">
        <v>Fixed Term</v>
      </c>
      <c r="Y141" t="str">
        <v>Auckland, New Zealand</v>
      </c>
      <c r="Z141">
        <v>5.0739726027397261</v>
      </c>
      <c r="AA141" t="str">
        <v>Part time</v>
      </c>
    </row>
    <row r="142" spans="15:27" x14ac:dyDescent="0.25">
      <c r="O142" t="str">
        <v>TN04101</v>
      </c>
      <c r="P142" t="str">
        <v>Marline</v>
      </c>
      <c r="Q142" t="str">
        <v>Wahncke</v>
      </c>
      <c r="R142" t="str">
        <v>Male</v>
      </c>
      <c r="S142" t="str">
        <v>Legal</v>
      </c>
      <c r="T142">
        <v>72843.23</v>
      </c>
      <c r="U142" t="str">
        <v>50k to 100k</v>
      </c>
      <c r="V142">
        <v>43280</v>
      </c>
      <c r="W142">
        <v>1</v>
      </c>
      <c r="X142" t="str">
        <v>Fixed Term</v>
      </c>
      <c r="Y142" t="str">
        <v>Wellington, New Zealand</v>
      </c>
      <c r="Z142">
        <v>5.9835616438356167</v>
      </c>
      <c r="AA142" t="str">
        <v>Full time</v>
      </c>
    </row>
    <row r="143" spans="15:27" x14ac:dyDescent="0.25">
      <c r="O143" t="str">
        <v>PR01383</v>
      </c>
      <c r="P143" t="str">
        <v>Addi</v>
      </c>
      <c r="Q143" t="str">
        <v>Studdeard</v>
      </c>
      <c r="R143" t="str">
        <v>Female</v>
      </c>
      <c r="S143" t="str">
        <v>Product Management</v>
      </c>
      <c r="T143">
        <v>72502.61</v>
      </c>
      <c r="U143" t="str">
        <v>50k to 100k</v>
      </c>
      <c r="V143">
        <v>44235</v>
      </c>
      <c r="W143">
        <v>1</v>
      </c>
      <c r="X143" t="str">
        <v>Permanent</v>
      </c>
      <c r="Y143" t="str">
        <v>Wellington, New Zealand</v>
      </c>
      <c r="Z143">
        <v>3.3671232876712329</v>
      </c>
      <c r="AA143" t="str">
        <v>Full time</v>
      </c>
    </row>
    <row r="144" spans="15:27" x14ac:dyDescent="0.25">
      <c r="O144" t="str">
        <v>SQ04960</v>
      </c>
      <c r="P144" t="str">
        <v>Shubhra</v>
      </c>
      <c r="Q144" t="str">
        <v>Potla</v>
      </c>
      <c r="R144" t="str">
        <v>Female</v>
      </c>
      <c r="S144" t="str">
        <v>Support</v>
      </c>
      <c r="T144">
        <v>71924.850000000006</v>
      </c>
      <c r="U144" t="str">
        <v>50k to 100k</v>
      </c>
      <c r="V144">
        <v>43822</v>
      </c>
      <c r="W144">
        <v>1</v>
      </c>
      <c r="X144" t="str">
        <v>Permanent</v>
      </c>
      <c r="Y144" t="str">
        <v>Chennai, India</v>
      </c>
      <c r="Z144">
        <v>4.4986301369863018</v>
      </c>
      <c r="AA144" t="str">
        <v>Full time</v>
      </c>
    </row>
    <row r="145" spans="15:27" x14ac:dyDescent="0.25">
      <c r="O145" t="str">
        <v>VT02374</v>
      </c>
      <c r="P145" t="str">
        <v>Delphine</v>
      </c>
      <c r="Q145" t="str">
        <v>Jewis</v>
      </c>
      <c r="R145" t="str">
        <v>Female</v>
      </c>
      <c r="S145" t="str">
        <v>Accounting</v>
      </c>
      <c r="T145">
        <v>71823.56</v>
      </c>
      <c r="U145" t="str">
        <v>50k to 100k</v>
      </c>
      <c r="V145">
        <v>43374</v>
      </c>
      <c r="W145">
        <v>0.3</v>
      </c>
      <c r="X145" t="str">
        <v>Temporary</v>
      </c>
      <c r="Y145" t="str">
        <v>Remote</v>
      </c>
      <c r="Z145">
        <v>5.7260273972602738</v>
      </c>
      <c r="AA145" t="str">
        <v>Part time</v>
      </c>
    </row>
    <row r="146" spans="15:27" x14ac:dyDescent="0.25">
      <c r="O146" t="str">
        <v>VT02374</v>
      </c>
      <c r="P146" t="str">
        <v>Delphine</v>
      </c>
      <c r="Q146" t="str">
        <v>Jewis</v>
      </c>
      <c r="R146" t="str">
        <v>Female</v>
      </c>
      <c r="S146" t="str">
        <v>Accounting</v>
      </c>
      <c r="T146">
        <v>71823.56</v>
      </c>
      <c r="U146" t="str">
        <v>50k to 100k</v>
      </c>
      <c r="V146">
        <v>43374</v>
      </c>
      <c r="W146">
        <v>0.3</v>
      </c>
      <c r="X146" t="str">
        <v>Temporary</v>
      </c>
      <c r="Y146" t="str">
        <v>Remote</v>
      </c>
      <c r="Z146">
        <v>5.7260273972602738</v>
      </c>
      <c r="AA146" t="str">
        <v>Part time</v>
      </c>
    </row>
    <row r="147" spans="15:27" x14ac:dyDescent="0.25">
      <c r="O147" t="str">
        <v>TN00890</v>
      </c>
      <c r="P147" t="str">
        <v>Mayur</v>
      </c>
      <c r="Q147" t="str">
        <v>Kousika</v>
      </c>
      <c r="R147" t="str">
        <v>Female</v>
      </c>
      <c r="S147" t="str">
        <v>Training</v>
      </c>
      <c r="T147">
        <v>71570.990000000005</v>
      </c>
      <c r="U147" t="str">
        <v>50k to 100k</v>
      </c>
      <c r="V147">
        <v>44249</v>
      </c>
      <c r="W147">
        <v>0.5</v>
      </c>
      <c r="X147" t="str">
        <v>Permanent</v>
      </c>
      <c r="Y147" t="str">
        <v>Hyderabad, India</v>
      </c>
      <c r="Z147">
        <v>3.3287671232876712</v>
      </c>
      <c r="AA147" t="str">
        <v>Part time</v>
      </c>
    </row>
    <row r="148" spans="15:27" x14ac:dyDescent="0.25">
      <c r="O148" t="str">
        <v>SQ01697</v>
      </c>
      <c r="P148" t="str">
        <v>Makshi</v>
      </c>
      <c r="Q148" t="str">
        <v>Vinutha</v>
      </c>
      <c r="R148" t="str">
        <v>Male</v>
      </c>
      <c r="S148" t="str">
        <v>Business Development</v>
      </c>
      <c r="T148">
        <v>71371.37</v>
      </c>
      <c r="U148" t="str">
        <v>50k to 100k</v>
      </c>
      <c r="V148">
        <v>43392</v>
      </c>
      <c r="W148">
        <v>1</v>
      </c>
      <c r="X148" t="str">
        <v>Permanent</v>
      </c>
      <c r="Y148" t="str">
        <v>Hyderabad, India</v>
      </c>
      <c r="Z148">
        <v>5.6767123287671231</v>
      </c>
      <c r="AA148" t="str">
        <v>Full time</v>
      </c>
    </row>
    <row r="149" spans="15:27" x14ac:dyDescent="0.25">
      <c r="O149" t="str">
        <v>SQ00187</v>
      </c>
      <c r="P149" t="str">
        <v>Rupak</v>
      </c>
      <c r="Q149" t="str">
        <v>Mehra</v>
      </c>
      <c r="R149" t="str">
        <v>Female</v>
      </c>
      <c r="S149" t="str">
        <v>Services</v>
      </c>
      <c r="T149">
        <v>71229.42</v>
      </c>
      <c r="U149" t="str">
        <v>50k to 100k</v>
      </c>
      <c r="V149">
        <v>44166</v>
      </c>
      <c r="W149">
        <v>1</v>
      </c>
      <c r="X149" t="str">
        <v>Permanent</v>
      </c>
      <c r="Y149" t="str">
        <v>Hyderabad, India</v>
      </c>
      <c r="Z149">
        <v>3.5561643835616437</v>
      </c>
      <c r="AA149" t="str">
        <v>Full time</v>
      </c>
    </row>
    <row r="150" spans="15:27" x14ac:dyDescent="0.25">
      <c r="O150" t="str">
        <v>VT04467</v>
      </c>
      <c r="P150" t="str">
        <v>Amal</v>
      </c>
      <c r="Q150" t="str">
        <v>Nimesh</v>
      </c>
      <c r="R150" t="str">
        <v>Female</v>
      </c>
      <c r="S150" t="str">
        <v>Marketing</v>
      </c>
      <c r="T150">
        <v>70755.5</v>
      </c>
      <c r="U150" t="str">
        <v>50k to 100k</v>
      </c>
      <c r="V150">
        <v>44090</v>
      </c>
      <c r="W150">
        <v>0.8</v>
      </c>
      <c r="X150" t="str">
        <v>Temporary</v>
      </c>
      <c r="Y150" t="str">
        <v>Hyderabad, India</v>
      </c>
      <c r="Z150">
        <v>3.7643835616438355</v>
      </c>
      <c r="AA150" t="str">
        <v>Part time</v>
      </c>
    </row>
    <row r="151" spans="15:27" x14ac:dyDescent="0.25">
      <c r="O151" t="str">
        <v>PR00095</v>
      </c>
      <c r="P151" t="str">
        <v>Devrat</v>
      </c>
      <c r="Q151" t="str">
        <v>Damarsingh</v>
      </c>
      <c r="R151" t="str">
        <v>Female</v>
      </c>
      <c r="S151" t="str">
        <v>Business Development</v>
      </c>
      <c r="T151">
        <v>70649.460000000006</v>
      </c>
      <c r="U151" t="str">
        <v>50k to 100k</v>
      </c>
      <c r="V151">
        <v>43843</v>
      </c>
      <c r="W151">
        <v>1</v>
      </c>
      <c r="X151" t="str">
        <v>Permanent</v>
      </c>
      <c r="Y151" t="str">
        <v>Hyderabad, India</v>
      </c>
      <c r="Z151">
        <v>4.441095890410959</v>
      </c>
      <c r="AA151" t="str">
        <v>Full time</v>
      </c>
    </row>
    <row r="152" spans="15:27" x14ac:dyDescent="0.25">
      <c r="O152" t="str">
        <v>SQ04598</v>
      </c>
      <c r="P152" t="str">
        <v>Pearla</v>
      </c>
      <c r="Q152" t="str">
        <v>Beteriss</v>
      </c>
      <c r="R152" t="str">
        <v>Male</v>
      </c>
      <c r="S152" t="str">
        <v>Services</v>
      </c>
      <c r="T152">
        <v>69913.39</v>
      </c>
      <c r="U152" t="str">
        <v>50k to 100k</v>
      </c>
      <c r="V152">
        <v>43584</v>
      </c>
      <c r="W152">
        <v>1</v>
      </c>
      <c r="X152" t="str">
        <v>Permanent</v>
      </c>
      <c r="Y152" t="str">
        <v>Remote</v>
      </c>
      <c r="Z152">
        <v>5.1506849315068495</v>
      </c>
      <c r="AA152" t="str">
        <v>Full time</v>
      </c>
    </row>
    <row r="153" spans="15:27" x14ac:dyDescent="0.25">
      <c r="O153" t="str">
        <v>SQ02371</v>
      </c>
      <c r="P153" t="str">
        <v>Alida</v>
      </c>
      <c r="Q153" t="str">
        <v>Welman</v>
      </c>
      <c r="R153" t="str">
        <v>Male</v>
      </c>
      <c r="S153" t="str">
        <v>Human Resources</v>
      </c>
      <c r="T153">
        <v>69862.38</v>
      </c>
      <c r="U153" t="str">
        <v>50k to 100k</v>
      </c>
      <c r="V153">
        <v>43458</v>
      </c>
      <c r="W153">
        <v>1</v>
      </c>
      <c r="X153" t="str">
        <v>Permanent</v>
      </c>
      <c r="Y153" t="str">
        <v>Wellington, New Zealand</v>
      </c>
      <c r="Z153">
        <v>5.4958904109589044</v>
      </c>
      <c r="AA153" t="str">
        <v>Full time</v>
      </c>
    </row>
    <row r="154" spans="15:27" x14ac:dyDescent="0.25">
      <c r="O154" t="str">
        <v>TN04660</v>
      </c>
      <c r="P154" t="str">
        <v>Thedrick</v>
      </c>
      <c r="Q154" t="str">
        <v>Bothwell</v>
      </c>
      <c r="R154" t="str">
        <v>Male</v>
      </c>
      <c r="S154" t="str">
        <v>Business Development</v>
      </c>
      <c r="T154">
        <v>69764.100000000006</v>
      </c>
      <c r="U154" t="str">
        <v>50k to 100k</v>
      </c>
      <c r="V154">
        <v>44195</v>
      </c>
      <c r="W154">
        <v>1</v>
      </c>
      <c r="X154" t="str">
        <v>Fixed Term</v>
      </c>
      <c r="Y154" t="str">
        <v>Seattle, USA</v>
      </c>
      <c r="Z154">
        <v>3.4767123287671233</v>
      </c>
      <c r="AA154" t="str">
        <v>Full time</v>
      </c>
    </row>
    <row r="155" spans="15:27" x14ac:dyDescent="0.25">
      <c r="O155" t="str">
        <v>TN02205</v>
      </c>
      <c r="P155" t="str">
        <v>Madhumati</v>
      </c>
      <c r="Q155" t="str">
        <v>Gazala</v>
      </c>
      <c r="R155" t="str">
        <v>Male</v>
      </c>
      <c r="S155" t="str">
        <v>Research and Development</v>
      </c>
      <c r="T155">
        <v>69709.509999999995</v>
      </c>
      <c r="U155" t="str">
        <v>50k to 100k</v>
      </c>
      <c r="V155">
        <v>43472</v>
      </c>
      <c r="W155">
        <v>1</v>
      </c>
      <c r="X155" t="str">
        <v>Permanent</v>
      </c>
      <c r="Y155" t="str">
        <v>Hyderabad, India</v>
      </c>
      <c r="Z155">
        <v>5.4575342465753423</v>
      </c>
      <c r="AA155" t="str">
        <v>Full time</v>
      </c>
    </row>
    <row r="156" spans="15:27" x14ac:dyDescent="0.25">
      <c r="O156" t="str">
        <v>PR04473</v>
      </c>
      <c r="P156" t="str">
        <v>Wyn</v>
      </c>
      <c r="Q156" t="str">
        <v>Treadger</v>
      </c>
      <c r="R156" t="str">
        <v>Female</v>
      </c>
      <c r="S156" t="str">
        <v>Business Development</v>
      </c>
      <c r="T156">
        <v>69192.850000000006</v>
      </c>
      <c r="U156" t="str">
        <v>50k to 100k</v>
      </c>
      <c r="V156">
        <v>44305</v>
      </c>
      <c r="W156">
        <v>1</v>
      </c>
      <c r="X156" t="str">
        <v>Permanent</v>
      </c>
      <c r="Y156" t="str">
        <v>Columbus, USA</v>
      </c>
      <c r="Z156">
        <v>3.1753424657534248</v>
      </c>
      <c r="AA156" t="str">
        <v>Full time</v>
      </c>
    </row>
    <row r="157" spans="15:27" x14ac:dyDescent="0.25">
      <c r="O157" t="str">
        <v>TN02570</v>
      </c>
      <c r="P157" t="str">
        <v>Grady</v>
      </c>
      <c r="Q157" t="str">
        <v>Rochelle</v>
      </c>
      <c r="R157" t="str">
        <v>Female</v>
      </c>
      <c r="S157" t="str">
        <v>Accounting</v>
      </c>
      <c r="T157">
        <v>69163.39</v>
      </c>
      <c r="U157" t="str">
        <v>50k to 100k</v>
      </c>
      <c r="V157">
        <v>43397</v>
      </c>
      <c r="W157">
        <v>1</v>
      </c>
      <c r="X157" t="str">
        <v>Permanent</v>
      </c>
      <c r="Y157" t="str">
        <v>Remote</v>
      </c>
      <c r="Z157">
        <v>5.6630136986301371</v>
      </c>
      <c r="AA157" t="str">
        <v>Full time</v>
      </c>
    </row>
    <row r="158" spans="15:27" x14ac:dyDescent="0.25">
      <c r="O158" t="str">
        <v>TN02570</v>
      </c>
      <c r="P158" t="str">
        <v>Grady</v>
      </c>
      <c r="Q158" t="str">
        <v>Rochelle</v>
      </c>
      <c r="R158" t="str">
        <v>Female</v>
      </c>
      <c r="S158" t="str">
        <v>Accounting</v>
      </c>
      <c r="T158">
        <v>69163.39</v>
      </c>
      <c r="U158" t="str">
        <v>50k to 100k</v>
      </c>
      <c r="V158">
        <v>43397</v>
      </c>
      <c r="W158">
        <v>1</v>
      </c>
      <c r="X158" t="str">
        <v>Permanent</v>
      </c>
      <c r="Y158" t="str">
        <v>Remote</v>
      </c>
      <c r="Z158">
        <v>5.6630136986301371</v>
      </c>
      <c r="AA158" t="str">
        <v>Full time</v>
      </c>
    </row>
    <row r="159" spans="15:27" x14ac:dyDescent="0.25">
      <c r="O159" t="str">
        <v>SQ03024</v>
      </c>
      <c r="P159" t="str">
        <v>Inge</v>
      </c>
      <c r="Q159" t="str">
        <v>Creer</v>
      </c>
      <c r="R159" t="str">
        <v>Female</v>
      </c>
      <c r="S159" t="str">
        <v>Services</v>
      </c>
      <c r="T159">
        <v>69057.320000000007</v>
      </c>
      <c r="U159" t="str">
        <v>50k to 100k</v>
      </c>
      <c r="V159">
        <v>43390</v>
      </c>
      <c r="W159">
        <v>1</v>
      </c>
      <c r="X159" t="str">
        <v>Permanent</v>
      </c>
      <c r="Y159" t="str">
        <v>Wellington, New Zealand</v>
      </c>
      <c r="Z159">
        <v>5.6821917808219178</v>
      </c>
      <c r="AA159" t="str">
        <v>Full time</v>
      </c>
    </row>
    <row r="160" spans="15:27" x14ac:dyDescent="0.25">
      <c r="O160" t="str">
        <v>SQ03024</v>
      </c>
      <c r="P160" t="str">
        <v>Inge</v>
      </c>
      <c r="Q160" t="str">
        <v>Creer</v>
      </c>
      <c r="R160" t="str">
        <v>Female</v>
      </c>
      <c r="S160" t="str">
        <v>Services</v>
      </c>
      <c r="T160">
        <v>69057.320000000007</v>
      </c>
      <c r="U160" t="str">
        <v>50k to 100k</v>
      </c>
      <c r="V160">
        <v>43390</v>
      </c>
      <c r="W160">
        <v>1</v>
      </c>
      <c r="X160" t="str">
        <v>Permanent</v>
      </c>
      <c r="Y160" t="str">
        <v>Wellington, New Zealand</v>
      </c>
      <c r="Z160">
        <v>5.6821917808219178</v>
      </c>
      <c r="AA160" t="str">
        <v>Full time</v>
      </c>
    </row>
    <row r="161" spans="15:27" x14ac:dyDescent="0.25">
      <c r="O161" t="str">
        <v>PR00419</v>
      </c>
      <c r="P161" t="str">
        <v>Billi</v>
      </c>
      <c r="Q161" t="str">
        <v>Fellgate</v>
      </c>
      <c r="R161" t="str">
        <v>Female</v>
      </c>
      <c r="S161" t="str">
        <v>Business Development</v>
      </c>
      <c r="T161">
        <v>68980.52</v>
      </c>
      <c r="U161" t="str">
        <v>50k to 100k</v>
      </c>
      <c r="V161">
        <v>43494</v>
      </c>
      <c r="W161">
        <v>0.8</v>
      </c>
      <c r="X161" t="str">
        <v>Permanent</v>
      </c>
      <c r="Y161" t="str">
        <v>Remote</v>
      </c>
      <c r="Z161">
        <v>5.397260273972603</v>
      </c>
      <c r="AA161" t="str">
        <v>Part time</v>
      </c>
    </row>
    <row r="162" spans="15:27" x14ac:dyDescent="0.25">
      <c r="O162" t="str">
        <v>SQ03321</v>
      </c>
      <c r="P162" t="str">
        <v>Gradey</v>
      </c>
      <c r="Q162" t="str">
        <v>Litton</v>
      </c>
      <c r="R162" t="str">
        <v>Female</v>
      </c>
      <c r="S162" t="str">
        <v>Accounting</v>
      </c>
      <c r="T162">
        <v>68887.839999999997</v>
      </c>
      <c r="U162" t="str">
        <v>50k to 100k</v>
      </c>
      <c r="V162">
        <v>43297</v>
      </c>
      <c r="W162">
        <v>1</v>
      </c>
      <c r="X162" t="str">
        <v>Permanent</v>
      </c>
      <c r="Y162" t="str">
        <v>Remote</v>
      </c>
      <c r="Z162">
        <v>5.9369863013698634</v>
      </c>
      <c r="AA162" t="str">
        <v>Full time</v>
      </c>
    </row>
    <row r="163" spans="15:27" x14ac:dyDescent="0.25">
      <c r="O163" t="str">
        <v>SQ01637</v>
      </c>
      <c r="P163" t="str">
        <v>Joaquin</v>
      </c>
      <c r="Q163" t="str">
        <v>McVitty</v>
      </c>
      <c r="R163" t="str">
        <v>Male</v>
      </c>
      <c r="S163" t="str">
        <v>Sales</v>
      </c>
      <c r="T163">
        <v>68860.399999999994</v>
      </c>
      <c r="U163" t="str">
        <v>50k to 100k</v>
      </c>
      <c r="V163">
        <v>43508</v>
      </c>
      <c r="W163">
        <v>0.4</v>
      </c>
      <c r="X163" t="str">
        <v>Permanent</v>
      </c>
      <c r="Y163" t="str">
        <v>Columbus, USA</v>
      </c>
      <c r="Z163">
        <v>5.3589041095890408</v>
      </c>
      <c r="AA163" t="str">
        <v>Part time</v>
      </c>
    </row>
    <row r="164" spans="15:27" x14ac:dyDescent="0.25">
      <c r="O164" t="str">
        <v>TN01601</v>
      </c>
      <c r="P164" t="str">
        <v>Melva</v>
      </c>
      <c r="Q164" t="str">
        <v>Jickells</v>
      </c>
      <c r="R164" t="str">
        <v>Female</v>
      </c>
      <c r="S164" t="str">
        <v>Product Management</v>
      </c>
      <c r="T164">
        <v>68795.48</v>
      </c>
      <c r="U164" t="str">
        <v>50k to 100k</v>
      </c>
      <c r="V164">
        <v>44277</v>
      </c>
      <c r="W164">
        <v>0.2</v>
      </c>
      <c r="X164" t="str">
        <v>Permanent</v>
      </c>
      <c r="Y164" t="str">
        <v>Remote</v>
      </c>
      <c r="Z164">
        <v>3.2520547945205478</v>
      </c>
      <c r="AA164" t="str">
        <v>Part time</v>
      </c>
    </row>
    <row r="165" spans="15:27" x14ac:dyDescent="0.25">
      <c r="O165" t="str">
        <v>TN01601</v>
      </c>
      <c r="P165" t="str">
        <v>Melva</v>
      </c>
      <c r="Q165" t="str">
        <v>Jickells</v>
      </c>
      <c r="R165" t="str">
        <v>Female</v>
      </c>
      <c r="S165" t="str">
        <v>Product Management</v>
      </c>
      <c r="T165">
        <v>68795.48</v>
      </c>
      <c r="U165" t="str">
        <v>50k to 100k</v>
      </c>
      <c r="V165">
        <v>44277</v>
      </c>
      <c r="W165">
        <v>0.2</v>
      </c>
      <c r="X165" t="str">
        <v>Permanent</v>
      </c>
      <c r="Y165" t="str">
        <v>Remote</v>
      </c>
      <c r="Z165">
        <v>3.2520547945205478</v>
      </c>
      <c r="AA165" t="str">
        <v>Part time</v>
      </c>
    </row>
    <row r="166" spans="15:27" x14ac:dyDescent="0.25">
      <c r="O166" t="str">
        <v>TN00258</v>
      </c>
      <c r="P166" t="str">
        <v>Joyce</v>
      </c>
      <c r="Q166" t="str">
        <v>Leyband</v>
      </c>
      <c r="R166" t="str">
        <v>Female</v>
      </c>
      <c r="S166" t="str">
        <v>Product Management</v>
      </c>
      <c r="T166">
        <v>68197.899999999994</v>
      </c>
      <c r="U166" t="str">
        <v>50k to 100k</v>
      </c>
      <c r="V166">
        <v>44119</v>
      </c>
      <c r="W166">
        <v>1</v>
      </c>
      <c r="X166" t="str">
        <v>Permanent</v>
      </c>
      <c r="Y166" t="str">
        <v>Auckland, New Zealand</v>
      </c>
      <c r="Z166">
        <v>3.6849315068493151</v>
      </c>
      <c r="AA166" t="str">
        <v>Full time</v>
      </c>
    </row>
    <row r="167" spans="15:27" x14ac:dyDescent="0.25">
      <c r="O167" t="str">
        <v>SQ01283</v>
      </c>
      <c r="P167" t="str">
        <v>Barr</v>
      </c>
      <c r="Q167" t="str">
        <v>Faughny</v>
      </c>
      <c r="R167" t="str">
        <v>Female</v>
      </c>
      <c r="S167" t="str">
        <v>Marketing</v>
      </c>
      <c r="T167">
        <v>68008.55</v>
      </c>
      <c r="U167" t="str">
        <v>50k to 100k</v>
      </c>
      <c r="V167">
        <v>44062</v>
      </c>
      <c r="W167">
        <v>1</v>
      </c>
      <c r="X167" t="str">
        <v>Permanent</v>
      </c>
      <c r="Y167" t="str">
        <v>Auckland, New Zealand</v>
      </c>
      <c r="Z167">
        <v>3.8410958904109589</v>
      </c>
      <c r="AA167" t="str">
        <v>Full time</v>
      </c>
    </row>
    <row r="168" spans="15:27" x14ac:dyDescent="0.25">
      <c r="O168" t="str">
        <v>TN02496</v>
      </c>
      <c r="P168" t="str">
        <v>Ponnan</v>
      </c>
      <c r="Q168" t="str">
        <v>Delhi</v>
      </c>
      <c r="R168" t="str">
        <v>Need to check</v>
      </c>
      <c r="S168" t="str">
        <v>Human Resources</v>
      </c>
      <c r="T168">
        <v>67957.899999999994</v>
      </c>
      <c r="U168" t="str">
        <v>50k to 100k</v>
      </c>
      <c r="V168">
        <v>43430</v>
      </c>
      <c r="W168">
        <v>1</v>
      </c>
      <c r="X168" t="str">
        <v>Permanent</v>
      </c>
      <c r="Y168" t="str">
        <v>Chennai, India</v>
      </c>
      <c r="Z168">
        <v>5.5726027397260278</v>
      </c>
      <c r="AA168" t="str">
        <v>Full time</v>
      </c>
    </row>
    <row r="169" spans="15:27" x14ac:dyDescent="0.25">
      <c r="O169" t="str">
        <v>PR00246</v>
      </c>
      <c r="P169" t="str">
        <v>Husein</v>
      </c>
      <c r="Q169" t="str">
        <v>Augar</v>
      </c>
      <c r="R169" t="str">
        <v>Female</v>
      </c>
      <c r="S169" t="str">
        <v>Marketing</v>
      </c>
      <c r="T169">
        <v>67905.8</v>
      </c>
      <c r="U169" t="str">
        <v>50k to 100k</v>
      </c>
      <c r="V169">
        <v>44194</v>
      </c>
      <c r="W169">
        <v>1</v>
      </c>
      <c r="X169" t="str">
        <v>Permanent</v>
      </c>
      <c r="Y169" t="str">
        <v>Remote</v>
      </c>
      <c r="Z169">
        <v>3.4794520547945207</v>
      </c>
      <c r="AA169" t="str">
        <v>Full time</v>
      </c>
    </row>
    <row r="170" spans="15:27" x14ac:dyDescent="0.25">
      <c r="O170" t="str">
        <v>TN03169</v>
      </c>
      <c r="P170" t="str">
        <v>Doe</v>
      </c>
      <c r="Q170" t="str">
        <v>Clubley</v>
      </c>
      <c r="R170" t="str">
        <v>Female</v>
      </c>
      <c r="S170" t="str">
        <v>Product Management</v>
      </c>
      <c r="T170">
        <v>67818.14</v>
      </c>
      <c r="U170" t="str">
        <v>50k to 100k</v>
      </c>
      <c r="V170">
        <v>43406</v>
      </c>
      <c r="W170">
        <v>0.6</v>
      </c>
      <c r="X170" t="str">
        <v>Fixed Term</v>
      </c>
      <c r="Y170" t="str">
        <v>Remote</v>
      </c>
      <c r="Z170">
        <v>5.6383561643835618</v>
      </c>
      <c r="AA170" t="str">
        <v>Part time</v>
      </c>
    </row>
    <row r="171" spans="15:27" x14ac:dyDescent="0.25">
      <c r="O171" t="str">
        <v>TN03169</v>
      </c>
      <c r="P171" t="str">
        <v>Doe</v>
      </c>
      <c r="Q171" t="str">
        <v>Clubley</v>
      </c>
      <c r="R171" t="str">
        <v>Female</v>
      </c>
      <c r="S171" t="str">
        <v>Product Management</v>
      </c>
      <c r="T171">
        <v>67818.14</v>
      </c>
      <c r="U171" t="str">
        <v>50k to 100k</v>
      </c>
      <c r="V171">
        <v>43406</v>
      </c>
      <c r="W171">
        <v>0.6</v>
      </c>
      <c r="X171" t="str">
        <v>Fixed Term</v>
      </c>
      <c r="Y171" t="str">
        <v>Remote</v>
      </c>
      <c r="Z171">
        <v>5.6383561643835618</v>
      </c>
      <c r="AA171" t="str">
        <v>Part time</v>
      </c>
    </row>
    <row r="172" spans="15:27" x14ac:dyDescent="0.25">
      <c r="O172" t="str">
        <v>TN01028</v>
      </c>
      <c r="P172" t="str">
        <v>Alicea</v>
      </c>
      <c r="Q172" t="str">
        <v>Pudsall</v>
      </c>
      <c r="R172" t="str">
        <v>Male</v>
      </c>
      <c r="S172" t="str">
        <v>Accounting</v>
      </c>
      <c r="T172">
        <v>67633.850000000006</v>
      </c>
      <c r="U172" t="str">
        <v>50k to 100k</v>
      </c>
      <c r="V172">
        <v>43340</v>
      </c>
      <c r="W172">
        <v>1</v>
      </c>
      <c r="X172" t="str">
        <v>Permanent</v>
      </c>
      <c r="Y172" t="str">
        <v>Columbus, USA</v>
      </c>
      <c r="Z172">
        <v>5.8191780821917805</v>
      </c>
      <c r="AA172" t="str">
        <v>Full time</v>
      </c>
    </row>
    <row r="173" spans="15:27" x14ac:dyDescent="0.25">
      <c r="O173" t="str">
        <v>SQ03350</v>
      </c>
      <c r="P173" t="str">
        <v>Felice</v>
      </c>
      <c r="Q173" t="str">
        <v>McMurty</v>
      </c>
      <c r="R173" t="str">
        <v>Female</v>
      </c>
      <c r="S173" t="str">
        <v>Product Management</v>
      </c>
      <c r="T173">
        <v>66865.490000000005</v>
      </c>
      <c r="U173" t="str">
        <v>50k to 100k</v>
      </c>
      <c r="V173">
        <v>43514</v>
      </c>
      <c r="W173">
        <v>1</v>
      </c>
      <c r="X173" t="str">
        <v>Permanent</v>
      </c>
      <c r="Y173" t="str">
        <v>Seattle, USA</v>
      </c>
      <c r="Z173">
        <v>5.3424657534246576</v>
      </c>
      <c r="AA173" t="str">
        <v>Full time</v>
      </c>
    </row>
    <row r="174" spans="15:27" x14ac:dyDescent="0.25">
      <c r="O174" t="str">
        <v>SQ03350</v>
      </c>
      <c r="P174" t="str">
        <v>Felice</v>
      </c>
      <c r="Q174" t="str">
        <v>McMurty</v>
      </c>
      <c r="R174" t="str">
        <v>Female</v>
      </c>
      <c r="S174" t="str">
        <v>Product Management</v>
      </c>
      <c r="T174">
        <v>66865.490000000005</v>
      </c>
      <c r="U174" t="str">
        <v>50k to 100k</v>
      </c>
      <c r="V174">
        <v>43514</v>
      </c>
      <c r="W174">
        <v>1</v>
      </c>
      <c r="X174" t="str">
        <v>Permanent</v>
      </c>
      <c r="Y174" t="str">
        <v>Seattle, USA</v>
      </c>
      <c r="Z174">
        <v>5.3424657534246576</v>
      </c>
      <c r="AA174" t="str">
        <v>Full time</v>
      </c>
    </row>
    <row r="175" spans="15:27" x14ac:dyDescent="0.25">
      <c r="O175" t="str">
        <v>PR03804</v>
      </c>
      <c r="P175" t="str">
        <v>Pratigya</v>
      </c>
      <c r="Q175" t="str">
        <v>Rema</v>
      </c>
      <c r="R175" t="str">
        <v>Male</v>
      </c>
      <c r="S175" t="str">
        <v>Legal</v>
      </c>
      <c r="T175">
        <v>66572.58</v>
      </c>
      <c r="U175" t="str">
        <v>50k to 100k</v>
      </c>
      <c r="V175">
        <v>44193</v>
      </c>
      <c r="W175">
        <v>1</v>
      </c>
      <c r="X175" t="str">
        <v>Permanent</v>
      </c>
      <c r="Y175" t="str">
        <v>Chennai, India</v>
      </c>
      <c r="Z175">
        <v>3.4821917808219176</v>
      </c>
      <c r="AA175" t="str">
        <v>Full time</v>
      </c>
    </row>
    <row r="176" spans="15:27" x14ac:dyDescent="0.25">
      <c r="O176" t="str">
        <v>PR03804</v>
      </c>
      <c r="P176" t="str">
        <v>Sartaj</v>
      </c>
      <c r="Q176" t="str">
        <v>Probal</v>
      </c>
      <c r="R176" t="str">
        <v>Male</v>
      </c>
      <c r="S176" t="str">
        <v>Legal</v>
      </c>
      <c r="T176">
        <v>66572.58</v>
      </c>
      <c r="U176" t="str">
        <v>50k to 100k</v>
      </c>
      <c r="V176">
        <v>44193</v>
      </c>
      <c r="W176">
        <v>1</v>
      </c>
      <c r="X176" t="str">
        <v>Permanent</v>
      </c>
      <c r="Y176" t="str">
        <v>Chennai, India</v>
      </c>
      <c r="Z176">
        <v>3.4821917808219176</v>
      </c>
      <c r="AA176" t="str">
        <v>Full time</v>
      </c>
    </row>
    <row r="177" spans="15:27" x14ac:dyDescent="0.25">
      <c r="O177" t="str">
        <v>SQ01854</v>
      </c>
      <c r="P177" t="str">
        <v>Jessica</v>
      </c>
      <c r="Q177" t="str">
        <v>Callcott</v>
      </c>
      <c r="R177" t="str">
        <v>Female</v>
      </c>
      <c r="S177" t="str">
        <v>Marketing</v>
      </c>
      <c r="T177">
        <v>66017.179999999993</v>
      </c>
      <c r="U177" t="str">
        <v>50k to 100k</v>
      </c>
      <c r="V177">
        <v>43643</v>
      </c>
      <c r="W177">
        <v>0.9</v>
      </c>
      <c r="X177" t="str">
        <v>Permanent</v>
      </c>
      <c r="Y177" t="str">
        <v>Remote</v>
      </c>
      <c r="Z177">
        <v>4.9890410958904106</v>
      </c>
      <c r="AA177" t="str">
        <v>Part time</v>
      </c>
    </row>
    <row r="178" spans="15:27" x14ac:dyDescent="0.25">
      <c r="O178" t="str">
        <v>PR03980</v>
      </c>
      <c r="P178" t="str">
        <v>Kath</v>
      </c>
      <c r="Q178" t="str">
        <v>Bletsoe</v>
      </c>
      <c r="R178" t="str">
        <v>Male</v>
      </c>
      <c r="S178" t="str">
        <v>Marketing</v>
      </c>
      <c r="T178">
        <v>65699.02</v>
      </c>
      <c r="U178" t="str">
        <v>50k to 100k</v>
      </c>
      <c r="V178">
        <v>43951</v>
      </c>
      <c r="W178">
        <v>1</v>
      </c>
      <c r="X178" t="str">
        <v>Permanent</v>
      </c>
      <c r="Y178" t="str">
        <v>Columbus, USA</v>
      </c>
      <c r="Z178">
        <v>4.1452054794520548</v>
      </c>
      <c r="AA178" t="str">
        <v>Full time</v>
      </c>
    </row>
    <row r="179" spans="15:27" x14ac:dyDescent="0.25">
      <c r="O179" t="str">
        <v>VT01996</v>
      </c>
      <c r="P179" t="str">
        <v>Hali</v>
      </c>
      <c r="Q179" t="str">
        <v>Behnecke</v>
      </c>
      <c r="R179" t="str">
        <v>Male</v>
      </c>
      <c r="S179" t="str">
        <v>Human Resources</v>
      </c>
      <c r="T179">
        <v>65569.36</v>
      </c>
      <c r="U179" t="str">
        <v>50k to 100k</v>
      </c>
      <c r="V179">
        <v>43293</v>
      </c>
      <c r="W179">
        <v>1</v>
      </c>
      <c r="X179" t="str">
        <v>Fixed Term</v>
      </c>
      <c r="Y179" t="str">
        <v>Auckland, New Zealand</v>
      </c>
      <c r="Z179">
        <v>5.9479452054794519</v>
      </c>
      <c r="AA179" t="str">
        <v>Full time</v>
      </c>
    </row>
    <row r="180" spans="15:27" x14ac:dyDescent="0.25">
      <c r="O180" t="str">
        <v>PR00576</v>
      </c>
      <c r="P180" t="str">
        <v>Lalitchandra</v>
      </c>
      <c r="Q180" t="str">
        <v>Vadali</v>
      </c>
      <c r="R180" t="str">
        <v>Female</v>
      </c>
      <c r="S180" t="str">
        <v>Legal</v>
      </c>
      <c r="T180">
        <v>63705.4</v>
      </c>
      <c r="U180" t="str">
        <v>50k to 100k</v>
      </c>
      <c r="V180">
        <v>43682</v>
      </c>
      <c r="W180">
        <v>1</v>
      </c>
      <c r="X180" t="str">
        <v>Permanent</v>
      </c>
      <c r="Y180" t="str">
        <v>Hyderabad, India</v>
      </c>
      <c r="Z180">
        <v>4.882191780821918</v>
      </c>
      <c r="AA180" t="str">
        <v>Full time</v>
      </c>
    </row>
    <row r="181" spans="15:27" x14ac:dyDescent="0.25">
      <c r="O181" t="str">
        <v>TN00227</v>
      </c>
      <c r="P181" t="str">
        <v>Raghuveer</v>
      </c>
      <c r="Q181" t="str">
        <v>Yettugunna</v>
      </c>
      <c r="R181" t="str">
        <v>Female</v>
      </c>
      <c r="S181" t="str">
        <v>Support</v>
      </c>
      <c r="T181">
        <v>63555.73</v>
      </c>
      <c r="U181" t="str">
        <v>50k to 100k</v>
      </c>
      <c r="V181">
        <v>44159</v>
      </c>
      <c r="W181">
        <v>1</v>
      </c>
      <c r="X181" t="str">
        <v>Permanent</v>
      </c>
      <c r="Y181" t="str">
        <v>Chennai, India</v>
      </c>
      <c r="Z181">
        <v>3.5753424657534247</v>
      </c>
      <c r="AA181" t="str">
        <v>Full time</v>
      </c>
    </row>
    <row r="182" spans="15:27" x14ac:dyDescent="0.25">
      <c r="O182" t="str">
        <v>VT03704</v>
      </c>
      <c r="P182" t="str">
        <v>Egor</v>
      </c>
      <c r="Q182" t="str">
        <v>Minto</v>
      </c>
      <c r="R182" t="str">
        <v>Need to check</v>
      </c>
      <c r="S182" t="str">
        <v>Legal</v>
      </c>
      <c r="T182">
        <v>63447.07</v>
      </c>
      <c r="U182" t="str">
        <v>50k to 100k</v>
      </c>
      <c r="V182">
        <v>44148</v>
      </c>
      <c r="W182">
        <v>1</v>
      </c>
      <c r="X182" t="str">
        <v>Temporary</v>
      </c>
      <c r="Y182" t="str">
        <v>Wellington, New Zealand</v>
      </c>
      <c r="Z182">
        <v>3.6054794520547944</v>
      </c>
      <c r="AA182" t="str">
        <v>Full time</v>
      </c>
    </row>
    <row r="183" spans="15:27" x14ac:dyDescent="0.25">
      <c r="O183" t="str">
        <v>SQ00070</v>
      </c>
      <c r="P183" t="str">
        <v>Larissa</v>
      </c>
      <c r="Q183" t="str">
        <v>Ingledow</v>
      </c>
      <c r="R183" t="str">
        <v>Male</v>
      </c>
      <c r="S183" t="str">
        <v>Research and Development</v>
      </c>
      <c r="T183">
        <v>62281.24</v>
      </c>
      <c r="U183" t="str">
        <v>50k to 100k</v>
      </c>
      <c r="V183">
        <v>43272</v>
      </c>
      <c r="W183">
        <v>1</v>
      </c>
      <c r="X183" t="str">
        <v>Permanent</v>
      </c>
      <c r="Y183" t="str">
        <v>Remote</v>
      </c>
      <c r="Z183">
        <v>6.0054794520547947</v>
      </c>
      <c r="AA183" t="str">
        <v>Full time</v>
      </c>
    </row>
    <row r="184" spans="15:27" x14ac:dyDescent="0.25">
      <c r="O184" t="str">
        <v>PR03445</v>
      </c>
      <c r="P184" t="str">
        <v>Myrle</v>
      </c>
      <c r="Q184" t="str">
        <v>Prandoni</v>
      </c>
      <c r="R184" t="str">
        <v>Male</v>
      </c>
      <c r="S184" t="str">
        <v>Sales</v>
      </c>
      <c r="T184">
        <v>62195.47</v>
      </c>
      <c r="U184" t="str">
        <v>50k to 100k</v>
      </c>
      <c r="V184">
        <v>44434</v>
      </c>
      <c r="W184">
        <v>1</v>
      </c>
      <c r="X184" t="str">
        <v>Permanent</v>
      </c>
      <c r="Y184" t="str">
        <v>Remote</v>
      </c>
      <c r="Z184">
        <v>2.8219178082191783</v>
      </c>
      <c r="AA184" t="str">
        <v>Full time</v>
      </c>
    </row>
    <row r="185" spans="15:27" x14ac:dyDescent="0.25">
      <c r="O185" t="str">
        <v>PR02603</v>
      </c>
      <c r="P185" t="str">
        <v>Dinanath</v>
      </c>
      <c r="Q185" t="str">
        <v>Simhambhatla</v>
      </c>
      <c r="R185" t="str">
        <v>Female</v>
      </c>
      <c r="S185" t="str">
        <v>Human Resources</v>
      </c>
      <c r="T185">
        <v>61994.76</v>
      </c>
      <c r="U185" t="str">
        <v>50k to 100k</v>
      </c>
      <c r="V185">
        <v>43794</v>
      </c>
      <c r="W185">
        <v>0.3</v>
      </c>
      <c r="X185" t="str">
        <v>Permanent</v>
      </c>
      <c r="Y185" t="str">
        <v>Hyderabad, India</v>
      </c>
      <c r="Z185">
        <v>4.5753424657534243</v>
      </c>
      <c r="AA185" t="str">
        <v>Part time</v>
      </c>
    </row>
    <row r="186" spans="15:27" x14ac:dyDescent="0.25">
      <c r="O186" t="str">
        <v>TN00083</v>
      </c>
      <c r="P186" t="str">
        <v>Chandana</v>
      </c>
      <c r="Q186" t="str">
        <v>Sannidhi</v>
      </c>
      <c r="R186" t="str">
        <v>Female</v>
      </c>
      <c r="S186" t="str">
        <v>Business Development</v>
      </c>
      <c r="T186">
        <v>61688.77</v>
      </c>
      <c r="U186" t="str">
        <v>50k to 100k</v>
      </c>
      <c r="V186">
        <v>43346</v>
      </c>
      <c r="W186">
        <v>0.9</v>
      </c>
      <c r="X186" t="str">
        <v>Permanent</v>
      </c>
      <c r="Y186" t="str">
        <v>Chennai, India</v>
      </c>
      <c r="Z186">
        <v>5.8027397260273972</v>
      </c>
      <c r="AA186" t="str">
        <v>Part time</v>
      </c>
    </row>
    <row r="187" spans="15:27" x14ac:dyDescent="0.25">
      <c r="O187" t="str">
        <v>VT01703</v>
      </c>
      <c r="P187" t="str">
        <v>Upendra</v>
      </c>
      <c r="Q187" t="str">
        <v>Swati</v>
      </c>
      <c r="R187" t="str">
        <v>Male</v>
      </c>
      <c r="S187" t="str">
        <v>Engineering</v>
      </c>
      <c r="T187">
        <v>61624.77</v>
      </c>
      <c r="U187" t="str">
        <v>50k to 100k</v>
      </c>
      <c r="V187">
        <v>43430</v>
      </c>
      <c r="W187">
        <v>0.3</v>
      </c>
      <c r="X187" t="str">
        <v>Fixed Term</v>
      </c>
      <c r="Y187" t="str">
        <v>Hyderabad, India</v>
      </c>
      <c r="Z187">
        <v>5.5726027397260278</v>
      </c>
      <c r="AA187" t="str">
        <v>Part time</v>
      </c>
    </row>
    <row r="188" spans="15:27" x14ac:dyDescent="0.25">
      <c r="O188" t="str">
        <v>VT02417</v>
      </c>
      <c r="P188" t="str">
        <v>Evangelina</v>
      </c>
      <c r="Q188" t="str">
        <v>Lergan</v>
      </c>
      <c r="R188" t="str">
        <v>Male</v>
      </c>
      <c r="S188" t="str">
        <v>Support</v>
      </c>
      <c r="T188">
        <v>61214.26</v>
      </c>
      <c r="U188" t="str">
        <v>50k to 100k</v>
      </c>
      <c r="V188">
        <v>43171</v>
      </c>
      <c r="W188">
        <v>1</v>
      </c>
      <c r="X188" t="str">
        <v>Temporary</v>
      </c>
      <c r="Y188" t="str">
        <v>Auckland, New Zealand</v>
      </c>
      <c r="Z188">
        <v>6.2821917808219174</v>
      </c>
      <c r="AA188" t="str">
        <v>Full time</v>
      </c>
    </row>
    <row r="189" spans="15:27" x14ac:dyDescent="0.25">
      <c r="O189" t="str">
        <v>SQ00286</v>
      </c>
      <c r="P189" t="str">
        <v>Ilesh</v>
      </c>
      <c r="Q189" t="str">
        <v>Dasgupta</v>
      </c>
      <c r="R189" t="str">
        <v>Female</v>
      </c>
      <c r="S189" t="str">
        <v>Legal</v>
      </c>
      <c r="T189">
        <v>61213.01</v>
      </c>
      <c r="U189" t="str">
        <v>50k to 100k</v>
      </c>
      <c r="V189">
        <v>44365</v>
      </c>
      <c r="W189">
        <v>1</v>
      </c>
      <c r="X189" t="str">
        <v>Permanent</v>
      </c>
      <c r="Y189" t="str">
        <v>Chennai, India</v>
      </c>
      <c r="Z189">
        <v>3.010958904109589</v>
      </c>
      <c r="AA189" t="str">
        <v>Full time</v>
      </c>
    </row>
    <row r="190" spans="15:27" x14ac:dyDescent="0.25">
      <c r="O190" t="str">
        <v>VT02260</v>
      </c>
      <c r="P190" t="str">
        <v>Rhiamon</v>
      </c>
      <c r="Q190" t="str">
        <v>Mollison</v>
      </c>
      <c r="R190" t="str">
        <v>Female</v>
      </c>
      <c r="S190" t="str">
        <v>Research and Development</v>
      </c>
      <c r="T190">
        <v>59434.18</v>
      </c>
      <c r="U190" t="str">
        <v>50k to 100k</v>
      </c>
      <c r="V190">
        <v>43931</v>
      </c>
      <c r="W190">
        <v>1</v>
      </c>
      <c r="X190" t="str">
        <v>Temporary</v>
      </c>
      <c r="Y190" t="str">
        <v>Seattle, USA</v>
      </c>
      <c r="Z190">
        <v>4.2</v>
      </c>
      <c r="AA190" t="str">
        <v>Full time</v>
      </c>
    </row>
    <row r="191" spans="15:27" x14ac:dyDescent="0.25">
      <c r="O191" t="str">
        <v>TN00735</v>
      </c>
      <c r="P191" t="str">
        <v>Caresa</v>
      </c>
      <c r="Q191" t="str">
        <v>Christer</v>
      </c>
      <c r="R191" t="str">
        <v>Male</v>
      </c>
      <c r="S191" t="str">
        <v>Support</v>
      </c>
      <c r="T191">
        <v>59258.19</v>
      </c>
      <c r="U191" t="str">
        <v>50k to 100k</v>
      </c>
      <c r="V191">
        <v>43452</v>
      </c>
      <c r="W191">
        <v>0.8</v>
      </c>
      <c r="X191" t="str">
        <v>Permanent</v>
      </c>
      <c r="Y191" t="str">
        <v>Seattle, USA</v>
      </c>
      <c r="Z191">
        <v>5.5123287671232877</v>
      </c>
      <c r="AA191" t="str">
        <v>Part time</v>
      </c>
    </row>
    <row r="192" spans="15:27" x14ac:dyDescent="0.25">
      <c r="O192" t="str">
        <v>TN00735</v>
      </c>
      <c r="P192" t="str">
        <v>Caresa</v>
      </c>
      <c r="Q192" t="str">
        <v>Christer</v>
      </c>
      <c r="R192" t="str">
        <v>Male</v>
      </c>
      <c r="S192" t="str">
        <v>Support</v>
      </c>
      <c r="T192">
        <v>59258.19</v>
      </c>
      <c r="U192" t="str">
        <v>50k to 100k</v>
      </c>
      <c r="V192">
        <v>43452</v>
      </c>
      <c r="W192">
        <v>0.8</v>
      </c>
      <c r="X192" t="str">
        <v>Permanent</v>
      </c>
      <c r="Y192" t="str">
        <v>Seattle, USA</v>
      </c>
      <c r="Z192">
        <v>5.5123287671232877</v>
      </c>
      <c r="AA192" t="str">
        <v>Part time</v>
      </c>
    </row>
    <row r="193" spans="15:27" x14ac:dyDescent="0.25">
      <c r="O193" t="str">
        <v>VT03988</v>
      </c>
      <c r="P193" t="str">
        <v>Venkat</v>
      </c>
      <c r="Q193" t="str">
        <v>Kodi</v>
      </c>
      <c r="R193" t="str">
        <v>Female</v>
      </c>
      <c r="S193" t="str">
        <v>Support</v>
      </c>
      <c r="T193">
        <v>58935.92</v>
      </c>
      <c r="U193" t="str">
        <v>50k to 100k</v>
      </c>
      <c r="V193">
        <v>43717</v>
      </c>
      <c r="W193">
        <v>1</v>
      </c>
      <c r="X193" t="str">
        <v>Temporary</v>
      </c>
      <c r="Y193" t="str">
        <v>Hyderabad, India</v>
      </c>
      <c r="Z193">
        <v>4.7863013698630139</v>
      </c>
      <c r="AA193" t="str">
        <v>Full time</v>
      </c>
    </row>
    <row r="194" spans="15:27" x14ac:dyDescent="0.25">
      <c r="O194" t="str">
        <v>PR02016</v>
      </c>
      <c r="P194" t="str">
        <v>Iris</v>
      </c>
      <c r="Q194" t="str">
        <v>Wagg</v>
      </c>
      <c r="R194" t="str">
        <v>Female</v>
      </c>
      <c r="S194" t="str">
        <v>Engineering</v>
      </c>
      <c r="T194">
        <v>58861.19</v>
      </c>
      <c r="U194" t="str">
        <v>50k to 100k</v>
      </c>
      <c r="V194">
        <v>43654</v>
      </c>
      <c r="W194">
        <v>1</v>
      </c>
      <c r="X194" t="str">
        <v>Permanent</v>
      </c>
      <c r="Y194" t="str">
        <v>Columbus, USA</v>
      </c>
      <c r="Z194">
        <v>4.9589041095890414</v>
      </c>
      <c r="AA194" t="str">
        <v>Full time</v>
      </c>
    </row>
    <row r="195" spans="15:27" x14ac:dyDescent="0.25">
      <c r="O195" t="str">
        <v>VT04415</v>
      </c>
      <c r="P195" t="str">
        <v>Malory</v>
      </c>
      <c r="Q195" t="str">
        <v>Biles</v>
      </c>
      <c r="R195" t="str">
        <v>Female</v>
      </c>
      <c r="S195" t="str">
        <v>Training</v>
      </c>
      <c r="T195">
        <v>58744.17</v>
      </c>
      <c r="U195" t="str">
        <v>50k to 100k</v>
      </c>
      <c r="V195">
        <v>43171</v>
      </c>
      <c r="W195">
        <v>1</v>
      </c>
      <c r="X195" t="str">
        <v>Temporary</v>
      </c>
      <c r="Y195" t="str">
        <v>Columbus, USA</v>
      </c>
      <c r="Z195">
        <v>6.2821917808219174</v>
      </c>
      <c r="AA195" t="str">
        <v>Full time</v>
      </c>
    </row>
    <row r="196" spans="15:27" x14ac:dyDescent="0.25">
      <c r="O196" t="str">
        <v>TN01701</v>
      </c>
      <c r="P196" t="str">
        <v>Yves</v>
      </c>
      <c r="Q196" t="str">
        <v>Pawlik</v>
      </c>
      <c r="R196" t="str">
        <v>Male</v>
      </c>
      <c r="S196" t="str">
        <v>Accounting</v>
      </c>
      <c r="T196">
        <v>57925.91</v>
      </c>
      <c r="U196" t="str">
        <v>50k to 100k</v>
      </c>
      <c r="V196">
        <v>43572</v>
      </c>
      <c r="W196">
        <v>0.5</v>
      </c>
      <c r="X196" t="str">
        <v>Permanent</v>
      </c>
      <c r="Y196" t="str">
        <v>Wellington, New Zealand</v>
      </c>
      <c r="Z196">
        <v>5.183561643835616</v>
      </c>
      <c r="AA196" t="str">
        <v>Part time</v>
      </c>
    </row>
    <row r="197" spans="15:27" x14ac:dyDescent="0.25">
      <c r="O197" t="str">
        <v>VT01092</v>
      </c>
      <c r="P197" t="str">
        <v>Tabby</v>
      </c>
      <c r="Q197" t="str">
        <v>Astall</v>
      </c>
      <c r="R197" t="str">
        <v>Male</v>
      </c>
      <c r="S197" t="str">
        <v>Accounting</v>
      </c>
      <c r="T197">
        <v>57419.35</v>
      </c>
      <c r="U197" t="str">
        <v>50k to 100k</v>
      </c>
      <c r="V197">
        <v>43305</v>
      </c>
      <c r="W197">
        <v>1</v>
      </c>
      <c r="X197" t="str">
        <v>Fixed Term</v>
      </c>
      <c r="Y197" t="str">
        <v>Auckland, New Zealand</v>
      </c>
      <c r="Z197">
        <v>5.9150684931506845</v>
      </c>
      <c r="AA197" t="str">
        <v>Full time</v>
      </c>
    </row>
    <row r="198" spans="15:27" x14ac:dyDescent="0.25">
      <c r="O198" t="str">
        <v>TN02749</v>
      </c>
      <c r="P198" t="str">
        <v>Parasuramudu</v>
      </c>
      <c r="Q198" t="str">
        <v>Jamakayala</v>
      </c>
      <c r="R198" t="str">
        <v>Female</v>
      </c>
      <c r="S198" t="str">
        <v>Training</v>
      </c>
      <c r="T198">
        <v>57002.02</v>
      </c>
      <c r="U198" t="str">
        <v>50k to 100k</v>
      </c>
      <c r="V198">
        <v>43192</v>
      </c>
      <c r="W198">
        <v>0.7</v>
      </c>
      <c r="X198" t="str">
        <v>Permanent</v>
      </c>
      <c r="Y198" t="str">
        <v>Hyderabad, India</v>
      </c>
      <c r="Z198">
        <v>6.2246575342465755</v>
      </c>
      <c r="AA198" t="str">
        <v>Part time</v>
      </c>
    </row>
    <row r="199" spans="15:27" x14ac:dyDescent="0.25">
      <c r="O199" t="str">
        <v>SQ02565</v>
      </c>
      <c r="P199" t="str">
        <v>Konstantin</v>
      </c>
      <c r="Q199" t="str">
        <v>Timblett</v>
      </c>
      <c r="R199" t="str">
        <v>Female</v>
      </c>
      <c r="S199" t="str">
        <v>Training</v>
      </c>
      <c r="T199">
        <v>56253.81</v>
      </c>
      <c r="U199" t="str">
        <v>50k to 100k</v>
      </c>
      <c r="V199">
        <v>44421</v>
      </c>
      <c r="W199">
        <v>1</v>
      </c>
      <c r="X199" t="str">
        <v>Permanent</v>
      </c>
      <c r="Y199" t="str">
        <v>Auckland, New Zealand</v>
      </c>
      <c r="Z199">
        <v>2.8575342465753426</v>
      </c>
      <c r="AA199" t="str">
        <v>Full time</v>
      </c>
    </row>
    <row r="200" spans="15:27" x14ac:dyDescent="0.25">
      <c r="O200" t="str">
        <v>SQ00691</v>
      </c>
      <c r="P200" t="str">
        <v>Verla</v>
      </c>
      <c r="Q200" t="str">
        <v>Timmis</v>
      </c>
      <c r="R200" t="str">
        <v>Male</v>
      </c>
      <c r="S200" t="str">
        <v>Support</v>
      </c>
      <c r="T200">
        <v>54137.05</v>
      </c>
      <c r="U200" t="str">
        <v>50k to 100k</v>
      </c>
      <c r="V200">
        <v>43763</v>
      </c>
      <c r="W200">
        <v>1</v>
      </c>
      <c r="X200" t="str">
        <v>Permanent</v>
      </c>
      <c r="Y200" t="str">
        <v>Remote</v>
      </c>
      <c r="Z200">
        <v>4.6602739726027398</v>
      </c>
      <c r="AA200" t="str">
        <v>Full time</v>
      </c>
    </row>
    <row r="201" spans="15:27" x14ac:dyDescent="0.25">
      <c r="O201" t="str">
        <v>VT02313</v>
      </c>
      <c r="P201" t="str">
        <v>Thekla</v>
      </c>
      <c r="Q201" t="str">
        <v>Lynnett</v>
      </c>
      <c r="R201" t="str">
        <v>Male</v>
      </c>
      <c r="S201" t="str">
        <v>Training</v>
      </c>
      <c r="T201">
        <v>53949.26</v>
      </c>
      <c r="U201" t="str">
        <v>50k to 100k</v>
      </c>
      <c r="V201">
        <v>43808</v>
      </c>
      <c r="W201">
        <v>1</v>
      </c>
      <c r="X201" t="str">
        <v>Temporary</v>
      </c>
      <c r="Y201" t="str">
        <v>Columbus, USA</v>
      </c>
      <c r="Z201">
        <v>4.536986301369863</v>
      </c>
      <c r="AA201" t="str">
        <v>Full time</v>
      </c>
    </row>
    <row r="202" spans="15:27" x14ac:dyDescent="0.25">
      <c r="O202" t="str">
        <v>VT02313</v>
      </c>
      <c r="P202" t="str">
        <v>Thekla</v>
      </c>
      <c r="Q202" t="str">
        <v>Lynnett</v>
      </c>
      <c r="R202" t="str">
        <v>Male</v>
      </c>
      <c r="S202" t="str">
        <v>Training</v>
      </c>
      <c r="T202">
        <v>53949.26</v>
      </c>
      <c r="U202" t="str">
        <v>50k to 100k</v>
      </c>
      <c r="V202">
        <v>43808</v>
      </c>
      <c r="W202">
        <v>1</v>
      </c>
      <c r="X202" t="str">
        <v>Temporary</v>
      </c>
      <c r="Y202" t="str">
        <v>Columbus, USA</v>
      </c>
      <c r="Z202">
        <v>4.536986301369863</v>
      </c>
      <c r="AA202" t="str">
        <v>Full time</v>
      </c>
    </row>
    <row r="203" spans="15:27" x14ac:dyDescent="0.25">
      <c r="O203" t="str">
        <v>VT01246</v>
      </c>
      <c r="P203" t="str">
        <v>Zach</v>
      </c>
      <c r="Q203" t="str">
        <v>Polon</v>
      </c>
      <c r="R203" t="str">
        <v>Male</v>
      </c>
      <c r="S203" t="str">
        <v>Marketing</v>
      </c>
      <c r="T203">
        <v>53535.62</v>
      </c>
      <c r="U203" t="str">
        <v>50k to 100k</v>
      </c>
      <c r="V203">
        <v>44110</v>
      </c>
      <c r="W203">
        <v>0.5</v>
      </c>
      <c r="X203" t="str">
        <v>Fixed Term</v>
      </c>
      <c r="Y203" t="str">
        <v>Seattle, USA</v>
      </c>
      <c r="Z203">
        <v>3.7095890410958905</v>
      </c>
      <c r="AA203" t="str">
        <v>Part time</v>
      </c>
    </row>
    <row r="204" spans="15:27" x14ac:dyDescent="0.25">
      <c r="O204" t="str">
        <v>TN04892</v>
      </c>
      <c r="P204" t="str">
        <v>Luca</v>
      </c>
      <c r="Q204" t="str">
        <v>Wolstenholme</v>
      </c>
      <c r="R204" t="str">
        <v>Male</v>
      </c>
      <c r="S204" t="str">
        <v>Engineering</v>
      </c>
      <c r="T204">
        <v>53184.02</v>
      </c>
      <c r="U204" t="str">
        <v>50k to 100k</v>
      </c>
      <c r="V204">
        <v>43180</v>
      </c>
      <c r="W204">
        <v>1</v>
      </c>
      <c r="X204" t="str">
        <v>Fixed Term</v>
      </c>
      <c r="Y204" t="str">
        <v>Remote</v>
      </c>
      <c r="Z204">
        <v>6.2575342465753421</v>
      </c>
      <c r="AA204" t="str">
        <v>Full time</v>
      </c>
    </row>
    <row r="205" spans="15:27" x14ac:dyDescent="0.25">
      <c r="O205" t="str">
        <v>PR00882</v>
      </c>
      <c r="P205" t="str">
        <v>Jill</v>
      </c>
      <c r="Q205" t="str">
        <v>Shipsey</v>
      </c>
      <c r="R205" t="str">
        <v>Male</v>
      </c>
      <c r="S205" t="str">
        <v>Accounting</v>
      </c>
      <c r="T205">
        <v>52963.65</v>
      </c>
      <c r="U205" t="str">
        <v>50k to 100k</v>
      </c>
      <c r="V205">
        <v>44288</v>
      </c>
      <c r="W205">
        <v>0.3</v>
      </c>
      <c r="X205" t="str">
        <v>Permanent</v>
      </c>
      <c r="Y205" t="str">
        <v>Columbus, USA</v>
      </c>
      <c r="Z205">
        <v>3.2219178082191782</v>
      </c>
      <c r="AA205" t="str">
        <v>Part time</v>
      </c>
    </row>
    <row r="206" spans="15:27" x14ac:dyDescent="0.25">
      <c r="O206" t="str">
        <v>TN00464</v>
      </c>
      <c r="P206" t="str">
        <v>Gopal</v>
      </c>
      <c r="Q206" t="str">
        <v>Venkata</v>
      </c>
      <c r="R206" t="str">
        <v>Male</v>
      </c>
      <c r="S206" t="str">
        <v>Research and Development</v>
      </c>
      <c r="T206">
        <v>52748.63</v>
      </c>
      <c r="U206" t="str">
        <v>50k to 100k</v>
      </c>
      <c r="V206">
        <v>43857</v>
      </c>
      <c r="W206">
        <v>1</v>
      </c>
      <c r="X206" t="str">
        <v>Permanent</v>
      </c>
      <c r="Y206" t="str">
        <v>Chennai, India</v>
      </c>
      <c r="Z206">
        <v>4.4027397260273968</v>
      </c>
      <c r="AA206" t="str">
        <v>Full time</v>
      </c>
    </row>
    <row r="207" spans="15:27" x14ac:dyDescent="0.25">
      <c r="O207" t="str">
        <v>SQ02424</v>
      </c>
      <c r="P207" t="str">
        <v>Kevalkumar</v>
      </c>
      <c r="Q207" t="str">
        <v>Solanki</v>
      </c>
      <c r="R207" t="str">
        <v>Male</v>
      </c>
      <c r="S207" t="str">
        <v>Accounting</v>
      </c>
      <c r="T207">
        <v>52270.22</v>
      </c>
      <c r="U207" t="str">
        <v>50k to 100k</v>
      </c>
      <c r="V207">
        <v>43521</v>
      </c>
      <c r="W207">
        <v>0.3</v>
      </c>
      <c r="X207" t="str">
        <v>Permanent</v>
      </c>
      <c r="Y207" t="str">
        <v>Chennai, India</v>
      </c>
      <c r="Z207">
        <v>5.3232876712328769</v>
      </c>
      <c r="AA207" t="str">
        <v>Part time</v>
      </c>
    </row>
    <row r="208" spans="15:27" x14ac:dyDescent="0.25">
      <c r="O208" t="str">
        <v>VT03849</v>
      </c>
      <c r="P208" t="str">
        <v>Leonidas</v>
      </c>
      <c r="Q208" t="str">
        <v>Cavaney</v>
      </c>
      <c r="R208" t="str">
        <v>Male</v>
      </c>
      <c r="S208" t="str">
        <v>Accounting</v>
      </c>
      <c r="T208">
        <v>52246.29</v>
      </c>
      <c r="U208" t="str">
        <v>50k to 100k</v>
      </c>
      <c r="V208">
        <v>43573</v>
      </c>
      <c r="W208">
        <v>1</v>
      </c>
      <c r="X208" t="str">
        <v>Temporary</v>
      </c>
      <c r="Y208" t="str">
        <v>Wellington, New Zealand</v>
      </c>
      <c r="Z208">
        <v>5.1808219178082195</v>
      </c>
      <c r="AA208" t="str">
        <v>Full time</v>
      </c>
    </row>
    <row r="209" spans="15:27" x14ac:dyDescent="0.25">
      <c r="O209" t="str">
        <v>SQ02582</v>
      </c>
      <c r="P209" t="str">
        <v>Kaishori</v>
      </c>
      <c r="Q209" t="str">
        <v>Harathi</v>
      </c>
      <c r="R209" t="str">
        <v>Female</v>
      </c>
      <c r="S209" t="str">
        <v>Product Management</v>
      </c>
      <c r="T209">
        <v>51798.25</v>
      </c>
      <c r="U209" t="str">
        <v>50k to 100k</v>
      </c>
      <c r="V209">
        <v>43665</v>
      </c>
      <c r="W209">
        <v>1</v>
      </c>
      <c r="X209" t="str">
        <v>Permanent</v>
      </c>
      <c r="Y209" t="str">
        <v>Hyderabad, India</v>
      </c>
      <c r="Z209">
        <v>4.9287671232876713</v>
      </c>
      <c r="AA209" t="str">
        <v>Full time</v>
      </c>
    </row>
    <row r="210" spans="15:27" x14ac:dyDescent="0.25">
      <c r="O210" t="str">
        <v>VT02118</v>
      </c>
      <c r="P210" t="str">
        <v>Oorjit</v>
      </c>
      <c r="Q210" t="str">
        <v>Nandanavanam</v>
      </c>
      <c r="R210" t="str">
        <v>Female</v>
      </c>
      <c r="S210" t="str">
        <v>Engineering</v>
      </c>
      <c r="T210">
        <v>51165.37</v>
      </c>
      <c r="U210" t="str">
        <v>50k to 100k</v>
      </c>
      <c r="V210">
        <v>44237</v>
      </c>
      <c r="W210">
        <v>1</v>
      </c>
      <c r="X210" t="str">
        <v>Fixed Term</v>
      </c>
      <c r="Y210" t="str">
        <v>Hyderabad, India</v>
      </c>
      <c r="Z210">
        <v>3.3616438356164382</v>
      </c>
      <c r="AA210" t="str">
        <v>Full time</v>
      </c>
    </row>
    <row r="211" spans="15:27" x14ac:dyDescent="0.25">
      <c r="O211" t="str">
        <v>SQ02525</v>
      </c>
      <c r="P211" t="str">
        <v>Mickie</v>
      </c>
      <c r="Q211" t="str">
        <v>Dagwell</v>
      </c>
      <c r="R211" t="str">
        <v>Male</v>
      </c>
      <c r="S211" t="str">
        <v>Engineering</v>
      </c>
      <c r="T211">
        <v>50855.53</v>
      </c>
      <c r="U211" t="str">
        <v>50k to 100k</v>
      </c>
      <c r="V211">
        <v>44221</v>
      </c>
      <c r="W211">
        <v>1</v>
      </c>
      <c r="X211" t="str">
        <v>Permanent</v>
      </c>
      <c r="Y211" t="str">
        <v>Wellington, New Zealand</v>
      </c>
      <c r="Z211">
        <v>3.4054794520547946</v>
      </c>
      <c r="AA211" t="str">
        <v>Full time</v>
      </c>
    </row>
    <row r="212" spans="15:27" x14ac:dyDescent="0.25">
      <c r="O212" t="str">
        <v>PR01662</v>
      </c>
      <c r="P212" t="str">
        <v>Genevra</v>
      </c>
      <c r="Q212" t="str">
        <v>Friday</v>
      </c>
      <c r="R212" t="str">
        <v>Female</v>
      </c>
      <c r="S212" t="str">
        <v>Research and Development</v>
      </c>
      <c r="T212">
        <v>50449.46</v>
      </c>
      <c r="U212" t="str">
        <v>50k to 100k</v>
      </c>
      <c r="V212">
        <v>43418</v>
      </c>
      <c r="W212">
        <v>0.8</v>
      </c>
      <c r="X212" t="str">
        <v>Permanent</v>
      </c>
      <c r="Y212" t="str">
        <v>Auckland, New Zealand</v>
      </c>
      <c r="Z212">
        <v>5.6054794520547944</v>
      </c>
      <c r="AA212" t="str">
        <v>Part time</v>
      </c>
    </row>
    <row r="213" spans="15:27" x14ac:dyDescent="0.25">
      <c r="O213" t="str">
        <v>PR00893</v>
      </c>
      <c r="P213" t="str">
        <v>Vasavi</v>
      </c>
      <c r="Q213" t="str">
        <v>Veeravasarapu</v>
      </c>
      <c r="R213" t="str">
        <v>Male</v>
      </c>
      <c r="S213" t="str">
        <v>Human Resources</v>
      </c>
      <c r="T213">
        <v>50310.09</v>
      </c>
      <c r="U213" t="str">
        <v>50k to 100k</v>
      </c>
      <c r="V213">
        <v>44285</v>
      </c>
      <c r="W213">
        <v>0.4</v>
      </c>
      <c r="X213" t="str">
        <v>Permanent</v>
      </c>
      <c r="Y213" t="str">
        <v>Hyderabad, India</v>
      </c>
      <c r="Z213">
        <v>3.2301369863013698</v>
      </c>
      <c r="AA213" t="str">
        <v>Part time</v>
      </c>
    </row>
    <row r="214" spans="15:27" x14ac:dyDescent="0.25">
      <c r="O214" t="str">
        <v>SQ01519</v>
      </c>
      <c r="P214" t="str">
        <v>Caron</v>
      </c>
      <c r="Q214" t="str">
        <v>Kolakovic</v>
      </c>
      <c r="R214" t="str">
        <v>Male</v>
      </c>
      <c r="S214" t="str">
        <v>Accounting</v>
      </c>
      <c r="T214">
        <v>49915.14</v>
      </c>
      <c r="U214" t="str">
        <v>Under 50k</v>
      </c>
      <c r="V214">
        <v>43550</v>
      </c>
      <c r="W214">
        <v>1</v>
      </c>
      <c r="X214" t="str">
        <v>Permanent</v>
      </c>
      <c r="Y214" t="str">
        <v>Remote</v>
      </c>
      <c r="Z214">
        <v>5.2438356164383562</v>
      </c>
      <c r="AA214" t="str">
        <v>Full time</v>
      </c>
    </row>
    <row r="215" spans="15:27" x14ac:dyDescent="0.25">
      <c r="O215" t="str">
        <v>VT00194</v>
      </c>
      <c r="P215" t="str">
        <v>Violante</v>
      </c>
      <c r="Q215" t="str">
        <v>Courtonne</v>
      </c>
      <c r="R215" t="str">
        <v>Female</v>
      </c>
      <c r="S215" t="str">
        <v>Product Management</v>
      </c>
      <c r="T215">
        <v>49625.64</v>
      </c>
      <c r="U215" t="str">
        <v>Under 50k</v>
      </c>
      <c r="V215">
        <v>44384</v>
      </c>
      <c r="W215">
        <v>0.5</v>
      </c>
      <c r="X215" t="str">
        <v>Fixed Term</v>
      </c>
      <c r="Y215" t="str">
        <v>Remote</v>
      </c>
      <c r="Z215">
        <v>2.9589041095890409</v>
      </c>
      <c r="AA215" t="str">
        <v>Part time</v>
      </c>
    </row>
    <row r="216" spans="15:27" x14ac:dyDescent="0.25">
      <c r="O216" t="str">
        <v>PR01943</v>
      </c>
      <c r="P216" t="str">
        <v>Rameshwari</v>
      </c>
      <c r="Q216" t="str">
        <v>Chikodi</v>
      </c>
      <c r="R216" t="str">
        <v>Male</v>
      </c>
      <c r="S216" t="str">
        <v>Human Resources</v>
      </c>
      <c r="T216">
        <v>48525.71</v>
      </c>
      <c r="U216" t="str">
        <v>Under 50k</v>
      </c>
      <c r="V216">
        <v>43264</v>
      </c>
      <c r="W216">
        <v>1</v>
      </c>
      <c r="X216" t="str">
        <v>Permanent</v>
      </c>
      <c r="Y216" t="str">
        <v>Hyderabad, India</v>
      </c>
      <c r="Z216">
        <v>6.0273972602739727</v>
      </c>
      <c r="AA216" t="str">
        <v>Full time</v>
      </c>
    </row>
    <row r="217" spans="15:27" x14ac:dyDescent="0.25">
      <c r="O217" t="str">
        <v>VT00336</v>
      </c>
      <c r="P217" t="str">
        <v>Shevantilal</v>
      </c>
      <c r="Q217" t="str">
        <v>Muppala</v>
      </c>
      <c r="R217" t="str">
        <v>Male</v>
      </c>
      <c r="S217" t="str">
        <v>Services</v>
      </c>
      <c r="T217">
        <v>47646.95</v>
      </c>
      <c r="U217" t="str">
        <v>Under 50k</v>
      </c>
      <c r="V217">
        <v>43791</v>
      </c>
      <c r="W217">
        <v>0.3</v>
      </c>
      <c r="X217" t="str">
        <v>Fixed Term</v>
      </c>
      <c r="Y217" t="str">
        <v>Chennai, India</v>
      </c>
      <c r="Z217">
        <v>4.5835616438356164</v>
      </c>
      <c r="AA217" t="str">
        <v>Part time</v>
      </c>
    </row>
    <row r="218" spans="15:27" x14ac:dyDescent="0.25">
      <c r="O218" t="str">
        <v>PR04366</v>
      </c>
      <c r="P218" t="str">
        <v>Carry</v>
      </c>
      <c r="Q218" t="str">
        <v>Loblie</v>
      </c>
      <c r="R218" t="str">
        <v>Female</v>
      </c>
      <c r="S218" t="str">
        <v>Sales</v>
      </c>
      <c r="T218">
        <v>47551.89</v>
      </c>
      <c r="U218" t="str">
        <v>Under 50k</v>
      </c>
      <c r="V218">
        <v>43468</v>
      </c>
      <c r="W218">
        <v>1</v>
      </c>
      <c r="X218" t="str">
        <v>Permanent</v>
      </c>
      <c r="Y218" t="str">
        <v>Auckland, New Zealand</v>
      </c>
      <c r="Z218">
        <v>5.4684931506849317</v>
      </c>
      <c r="AA218" t="str">
        <v>Full time</v>
      </c>
    </row>
    <row r="219" spans="15:27" x14ac:dyDescent="0.25">
      <c r="O219" t="str">
        <v>VT04984</v>
      </c>
      <c r="P219" t="str">
        <v>Dell</v>
      </c>
      <c r="Q219" t="str">
        <v>Molloy</v>
      </c>
      <c r="R219" t="str">
        <v>Male</v>
      </c>
      <c r="S219" t="str">
        <v>Engineering</v>
      </c>
      <c r="T219">
        <v>47362.62</v>
      </c>
      <c r="U219" t="str">
        <v>Under 50k</v>
      </c>
      <c r="V219">
        <v>43973</v>
      </c>
      <c r="W219">
        <v>1</v>
      </c>
      <c r="X219" t="str">
        <v>Temporary</v>
      </c>
      <c r="Y219" t="str">
        <v>Remote</v>
      </c>
      <c r="Z219">
        <v>4.0849315068493155</v>
      </c>
      <c r="AA219" t="str">
        <v>Full time</v>
      </c>
    </row>
    <row r="220" spans="15:27" x14ac:dyDescent="0.25">
      <c r="O220" t="str">
        <v>VT00740</v>
      </c>
      <c r="P220" t="str">
        <v>Chitrasen</v>
      </c>
      <c r="Q220" t="str">
        <v>Laul</v>
      </c>
      <c r="R220" t="str">
        <v>Female</v>
      </c>
      <c r="S220" t="str">
        <v>Research and Development</v>
      </c>
      <c r="T220">
        <v>46751.7</v>
      </c>
      <c r="U220" t="str">
        <v>Under 50k</v>
      </c>
      <c r="V220">
        <v>43843</v>
      </c>
      <c r="W220">
        <v>1</v>
      </c>
      <c r="X220" t="str">
        <v>Fixed Term</v>
      </c>
      <c r="Y220" t="str">
        <v>Hyderabad, India</v>
      </c>
      <c r="Z220">
        <v>4.441095890410959</v>
      </c>
      <c r="AA220" t="str">
        <v>Full time</v>
      </c>
    </row>
    <row r="221" spans="15:27" x14ac:dyDescent="0.25">
      <c r="O221" t="str">
        <v>SQ02223</v>
      </c>
      <c r="P221" t="str">
        <v>Pippy</v>
      </c>
      <c r="Q221" t="str">
        <v>Shepperd</v>
      </c>
      <c r="R221" t="str">
        <v>Female</v>
      </c>
      <c r="S221" t="str">
        <v>Accounting</v>
      </c>
      <c r="T221">
        <v>44845.33</v>
      </c>
      <c r="U221" t="str">
        <v>Under 50k</v>
      </c>
      <c r="V221">
        <v>43277</v>
      </c>
      <c r="W221">
        <v>1</v>
      </c>
      <c r="X221" t="str">
        <v>Permanent</v>
      </c>
      <c r="Y221" t="str">
        <v>Seattle, USA</v>
      </c>
      <c r="Z221">
        <v>5.9917808219178079</v>
      </c>
      <c r="AA221" t="str">
        <v>Full time</v>
      </c>
    </row>
    <row r="222" spans="15:27" x14ac:dyDescent="0.25">
      <c r="O222" t="str">
        <v>SQ00960</v>
      </c>
      <c r="P222" t="str">
        <v>Calvin</v>
      </c>
      <c r="Q222" t="str">
        <v>O'Carroll</v>
      </c>
      <c r="R222" t="str">
        <v>Female</v>
      </c>
      <c r="S222" t="str">
        <v>Research and Development</v>
      </c>
      <c r="T222">
        <v>44447.26</v>
      </c>
      <c r="U222" t="str">
        <v>Under 50k</v>
      </c>
      <c r="V222">
        <v>43846</v>
      </c>
      <c r="W222">
        <v>0.4</v>
      </c>
      <c r="X222" t="str">
        <v>Permanent</v>
      </c>
      <c r="Y222" t="str">
        <v>Seattle, USA</v>
      </c>
      <c r="Z222">
        <v>4.4328767123287669</v>
      </c>
      <c r="AA222" t="str">
        <v>Part time</v>
      </c>
    </row>
    <row r="223" spans="15:27" x14ac:dyDescent="0.25">
      <c r="O223" t="str">
        <v>SQ01402</v>
      </c>
      <c r="P223" t="str">
        <v>Sahaj</v>
      </c>
      <c r="Q223" t="str">
        <v>Jonnalagadda</v>
      </c>
      <c r="R223" t="str">
        <v>Female</v>
      </c>
      <c r="S223" t="str">
        <v>Engineering</v>
      </c>
      <c r="T223">
        <v>44403.77</v>
      </c>
      <c r="U223" t="str">
        <v>Under 50k</v>
      </c>
      <c r="V223">
        <v>43416</v>
      </c>
      <c r="W223">
        <v>1</v>
      </c>
      <c r="X223" t="str">
        <v>Permanent</v>
      </c>
      <c r="Y223" t="str">
        <v>Hyderabad, India</v>
      </c>
      <c r="Z223">
        <v>5.6109589041095891</v>
      </c>
      <c r="AA223" t="str">
        <v>Full time</v>
      </c>
    </row>
    <row r="224" spans="15:27" x14ac:dyDescent="0.25">
      <c r="O224" t="str">
        <v>TN03416</v>
      </c>
      <c r="P224" t="str">
        <v>Seward</v>
      </c>
      <c r="Q224" t="str">
        <v>Kubera</v>
      </c>
      <c r="R224" t="str">
        <v>Male</v>
      </c>
      <c r="S224" t="str">
        <v>Engineering</v>
      </c>
      <c r="T224">
        <v>43329.22</v>
      </c>
      <c r="U224" t="str">
        <v>Under 50k</v>
      </c>
      <c r="V224">
        <v>43809</v>
      </c>
      <c r="W224">
        <v>0.5</v>
      </c>
      <c r="X224" t="str">
        <v>Fixed Term</v>
      </c>
      <c r="Y224" t="str">
        <v>Remote</v>
      </c>
      <c r="Z224">
        <v>4.5342465753424657</v>
      </c>
      <c r="AA224" t="str">
        <v>Part time</v>
      </c>
    </row>
    <row r="225" spans="15:27" x14ac:dyDescent="0.25">
      <c r="O225" t="str">
        <v>VT00578</v>
      </c>
      <c r="P225" t="str">
        <v>Magnum</v>
      </c>
      <c r="Q225" t="str">
        <v>Locksley</v>
      </c>
      <c r="R225" t="str">
        <v>Female</v>
      </c>
      <c r="S225" t="str">
        <v>Services</v>
      </c>
      <c r="T225">
        <v>42314.39</v>
      </c>
      <c r="U225" t="str">
        <v>Under 50k</v>
      </c>
      <c r="V225">
        <v>44487</v>
      </c>
      <c r="W225">
        <v>1</v>
      </c>
      <c r="X225" t="str">
        <v>Fixed Term</v>
      </c>
      <c r="Y225" t="str">
        <v>Remote</v>
      </c>
      <c r="Z225">
        <v>2.6767123287671235</v>
      </c>
      <c r="AA225" t="str">
        <v>Full time</v>
      </c>
    </row>
    <row r="226" spans="15:27" x14ac:dyDescent="0.25">
      <c r="O226" t="str">
        <v>TN00727</v>
      </c>
      <c r="P226" t="str">
        <v>Dulsea</v>
      </c>
      <c r="Q226" t="str">
        <v>Folkes</v>
      </c>
      <c r="R226" t="str">
        <v>Female</v>
      </c>
      <c r="S226" t="str">
        <v>Services</v>
      </c>
      <c r="T226">
        <v>42161.77</v>
      </c>
      <c r="U226" t="str">
        <v>Under 50k</v>
      </c>
      <c r="V226">
        <v>43494</v>
      </c>
      <c r="W226">
        <v>1</v>
      </c>
      <c r="X226" t="str">
        <v>Permanent</v>
      </c>
      <c r="Y226" t="str">
        <v>Auckland, New Zealand</v>
      </c>
      <c r="Z226">
        <v>5.397260273972603</v>
      </c>
      <c r="AA226" t="str">
        <v>Full time</v>
      </c>
    </row>
    <row r="227" spans="15:27" x14ac:dyDescent="0.25">
      <c r="O227" t="str">
        <v>PR02275</v>
      </c>
      <c r="P227" t="str">
        <v>Louise</v>
      </c>
      <c r="Q227" t="str">
        <v>Lamming</v>
      </c>
      <c r="R227" t="str">
        <v>Female</v>
      </c>
      <c r="S227" t="str">
        <v>Sales</v>
      </c>
      <c r="T227">
        <v>41934.71</v>
      </c>
      <c r="U227" t="str">
        <v>Under 50k</v>
      </c>
      <c r="V227">
        <v>43780</v>
      </c>
      <c r="W227">
        <v>1</v>
      </c>
      <c r="X227" t="str">
        <v>Permanent</v>
      </c>
      <c r="Y227" t="str">
        <v>Remote</v>
      </c>
      <c r="Z227">
        <v>4.6136986301369864</v>
      </c>
      <c r="AA227" t="str">
        <v>Full time</v>
      </c>
    </row>
    <row r="228" spans="15:27" x14ac:dyDescent="0.25">
      <c r="O228" t="str">
        <v>SQ00450</v>
      </c>
      <c r="P228" t="str">
        <v>Louise</v>
      </c>
      <c r="Q228" t="str">
        <v>Lamming</v>
      </c>
      <c r="R228" t="str">
        <v>Female</v>
      </c>
      <c r="S228" t="str">
        <v>Sales</v>
      </c>
      <c r="T228">
        <v>41934.71</v>
      </c>
      <c r="U228" t="str">
        <v>Under 50k</v>
      </c>
      <c r="V228">
        <v>43943</v>
      </c>
      <c r="W228">
        <v>1</v>
      </c>
      <c r="X228" t="str">
        <v>Permanent</v>
      </c>
      <c r="Y228" t="str">
        <v>Remote</v>
      </c>
      <c r="Z228">
        <v>4.1671232876712327</v>
      </c>
      <c r="AA228" t="str">
        <v>Full time</v>
      </c>
    </row>
    <row r="229" spans="15:27" x14ac:dyDescent="0.25">
      <c r="O229" t="str">
        <v>SQ00360</v>
      </c>
      <c r="P229" t="str">
        <v>Orlando</v>
      </c>
      <c r="Q229" t="str">
        <v>Gorstidge</v>
      </c>
      <c r="R229" t="str">
        <v>Male</v>
      </c>
      <c r="S229" t="str">
        <v>Marketing</v>
      </c>
      <c r="T229">
        <v>40753.54</v>
      </c>
      <c r="U229" t="str">
        <v>Under 50k</v>
      </c>
      <c r="V229">
        <v>43152</v>
      </c>
      <c r="W229">
        <v>0.6</v>
      </c>
      <c r="X229" t="str">
        <v>Permanent</v>
      </c>
      <c r="Y229" t="str">
        <v>Wellington, New Zealand</v>
      </c>
      <c r="Z229">
        <v>6.3342465753424655</v>
      </c>
      <c r="AA229" t="str">
        <v>Part time</v>
      </c>
    </row>
    <row r="230" spans="15:27" x14ac:dyDescent="0.25">
      <c r="O230" t="str">
        <v>SQ01998</v>
      </c>
      <c r="P230" t="str">
        <v>Vanmala</v>
      </c>
      <c r="Q230" t="str">
        <v>Shriharsha</v>
      </c>
      <c r="R230" t="str">
        <v>Male</v>
      </c>
      <c r="S230" t="str">
        <v>Product Management</v>
      </c>
      <c r="T230">
        <v>40445.29</v>
      </c>
      <c r="U230" t="str">
        <v>Under 50k</v>
      </c>
      <c r="V230">
        <v>44393</v>
      </c>
      <c r="W230">
        <v>1</v>
      </c>
      <c r="X230" t="str">
        <v>Permanent</v>
      </c>
      <c r="Y230" t="str">
        <v>Chennai, India</v>
      </c>
      <c r="Z230">
        <v>2.9342465753424656</v>
      </c>
      <c r="AA230" t="str">
        <v>Full time</v>
      </c>
    </row>
    <row r="231" spans="15:27" x14ac:dyDescent="0.25">
      <c r="O231" t="str">
        <v>SQ01998</v>
      </c>
      <c r="P231" t="str">
        <v>Sahas</v>
      </c>
      <c r="Q231" t="str">
        <v>Sanabhi</v>
      </c>
      <c r="R231" t="str">
        <v>Male</v>
      </c>
      <c r="S231" t="str">
        <v>Product Management</v>
      </c>
      <c r="T231">
        <v>40445.29</v>
      </c>
      <c r="U231" t="str">
        <v>Under 50k</v>
      </c>
      <c r="V231">
        <v>44393</v>
      </c>
      <c r="W231">
        <v>1</v>
      </c>
      <c r="X231" t="str">
        <v>Permanent</v>
      </c>
      <c r="Y231" t="str">
        <v>Chennai, India</v>
      </c>
      <c r="Z231">
        <v>2.9342465753424656</v>
      </c>
      <c r="AA231" t="str">
        <v>Full time</v>
      </c>
    </row>
    <row r="232" spans="15:27" x14ac:dyDescent="0.25">
      <c r="O232" t="str">
        <v>VT02539</v>
      </c>
      <c r="P232" t="str">
        <v>Devinne</v>
      </c>
      <c r="Q232" t="str">
        <v>Tuny</v>
      </c>
      <c r="R232" t="str">
        <v>Male</v>
      </c>
      <c r="S232" t="str">
        <v>Engineering</v>
      </c>
      <c r="T232">
        <v>39969.72</v>
      </c>
      <c r="U232" t="str">
        <v>Under 50k</v>
      </c>
      <c r="V232">
        <v>43444</v>
      </c>
      <c r="W232">
        <v>1</v>
      </c>
      <c r="X232" t="str">
        <v>Temporary</v>
      </c>
      <c r="Y232" t="str">
        <v>Columbus, USA</v>
      </c>
      <c r="Z232">
        <v>5.5342465753424657</v>
      </c>
      <c r="AA232" t="str">
        <v>Full time</v>
      </c>
    </row>
    <row r="233" spans="15:27" x14ac:dyDescent="0.25">
      <c r="O233" t="str">
        <v>TN03068</v>
      </c>
      <c r="P233" t="str">
        <v>Gumwant</v>
      </c>
      <c r="Q233" t="str">
        <v>Veera</v>
      </c>
      <c r="R233" t="str">
        <v>Male</v>
      </c>
      <c r="S233" t="str">
        <v>Business Development</v>
      </c>
      <c r="T233">
        <v>39784.239999999998</v>
      </c>
      <c r="U233" t="str">
        <v>Under 50k</v>
      </c>
      <c r="V233">
        <v>43465</v>
      </c>
      <c r="W233">
        <v>1</v>
      </c>
      <c r="X233" t="str">
        <v>Fixed Term</v>
      </c>
      <c r="Y233" t="str">
        <v>Chennai, India</v>
      </c>
      <c r="Z233">
        <v>5.4767123287671229</v>
      </c>
      <c r="AA233" t="str">
        <v>Full time</v>
      </c>
    </row>
    <row r="234" spans="15:27" x14ac:dyDescent="0.25">
      <c r="O234" t="str">
        <v>TN03032</v>
      </c>
      <c r="P234" t="str">
        <v>Jaipal</v>
      </c>
      <c r="Q234" t="str">
        <v>Potanapudi</v>
      </c>
      <c r="R234" t="str">
        <v>Female</v>
      </c>
      <c r="S234" t="str">
        <v>Research and Development</v>
      </c>
      <c r="T234">
        <v>39700.82</v>
      </c>
      <c r="U234" t="str">
        <v>Under 50k</v>
      </c>
      <c r="V234">
        <v>44203</v>
      </c>
      <c r="W234">
        <v>0.8</v>
      </c>
      <c r="X234" t="str">
        <v>Permanent</v>
      </c>
      <c r="Y234" t="str">
        <v>Chennai, India</v>
      </c>
      <c r="Z234">
        <v>3.4547945205479453</v>
      </c>
      <c r="AA234" t="str">
        <v>Part time</v>
      </c>
    </row>
    <row r="235" spans="15:27" x14ac:dyDescent="0.25">
      <c r="O235" t="str">
        <v>TN03032</v>
      </c>
      <c r="P235" t="str">
        <v>Fullara</v>
      </c>
      <c r="Q235" t="str">
        <v>Sushanti</v>
      </c>
      <c r="R235" t="str">
        <v>Female</v>
      </c>
      <c r="S235" t="str">
        <v>Research and Development</v>
      </c>
      <c r="T235">
        <v>39700.82</v>
      </c>
      <c r="U235" t="str">
        <v>Under 50k</v>
      </c>
      <c r="V235">
        <v>44203</v>
      </c>
      <c r="W235">
        <v>0.8</v>
      </c>
      <c r="X235" t="str">
        <v>Permanent</v>
      </c>
      <c r="Y235" t="str">
        <v>Chennai, India</v>
      </c>
      <c r="Z235">
        <v>3.4547945205479453</v>
      </c>
      <c r="AA235" t="str">
        <v>Part time</v>
      </c>
    </row>
    <row r="236" spans="15:27" x14ac:dyDescent="0.25">
      <c r="O236" t="str">
        <v>PR03271</v>
      </c>
      <c r="P236" t="str">
        <v>Stan</v>
      </c>
      <c r="Q236" t="str">
        <v>Tolliday</v>
      </c>
      <c r="R236" t="str">
        <v>Female</v>
      </c>
      <c r="S236" t="str">
        <v>Sales</v>
      </c>
      <c r="T236">
        <v>39535.49</v>
      </c>
      <c r="U236" t="str">
        <v>Under 50k</v>
      </c>
      <c r="V236">
        <v>43397</v>
      </c>
      <c r="W236">
        <v>0.3</v>
      </c>
      <c r="X236" t="str">
        <v>Permanent</v>
      </c>
      <c r="Y236" t="str">
        <v>Remote</v>
      </c>
      <c r="Z236">
        <v>5.6630136986301371</v>
      </c>
      <c r="AA236" t="str">
        <v>Part time</v>
      </c>
    </row>
    <row r="237" spans="15:27" x14ac:dyDescent="0.25">
      <c r="O237" t="str">
        <v>VT04273</v>
      </c>
      <c r="P237" t="str">
        <v>Brad</v>
      </c>
      <c r="Q237" t="str">
        <v>Gumb</v>
      </c>
      <c r="R237" t="str">
        <v>Male</v>
      </c>
      <c r="S237" t="str">
        <v>Accounting</v>
      </c>
      <c r="T237">
        <v>38825.18</v>
      </c>
      <c r="U237" t="str">
        <v>Under 50k</v>
      </c>
      <c r="V237">
        <v>43696</v>
      </c>
      <c r="W237">
        <v>1</v>
      </c>
      <c r="X237" t="str">
        <v>Temporary</v>
      </c>
      <c r="Y237" t="str">
        <v>Remote</v>
      </c>
      <c r="Z237">
        <v>4.8438356164383558</v>
      </c>
      <c r="AA237" t="str">
        <v>Full time</v>
      </c>
    </row>
    <row r="238" spans="15:27" x14ac:dyDescent="0.25">
      <c r="O238" t="str">
        <v>SQ00914</v>
      </c>
      <c r="P238" t="str">
        <v>Duran</v>
      </c>
      <c r="Q238" t="str">
        <v>Appala</v>
      </c>
      <c r="R238" t="str">
        <v>Female</v>
      </c>
      <c r="S238" t="str">
        <v>Product Management</v>
      </c>
      <c r="T238">
        <v>38438.239999999998</v>
      </c>
      <c r="U238" t="str">
        <v>Under 50k</v>
      </c>
      <c r="V238">
        <v>43962</v>
      </c>
      <c r="W238">
        <v>1</v>
      </c>
      <c r="X238" t="str">
        <v>Permanent</v>
      </c>
      <c r="Y238" t="str">
        <v>Chennai, India</v>
      </c>
      <c r="Z238">
        <v>4.1150684931506847</v>
      </c>
      <c r="AA238" t="str">
        <v>Full time</v>
      </c>
    </row>
    <row r="239" spans="15:27" x14ac:dyDescent="0.25">
      <c r="O239" t="str">
        <v>SQ00914</v>
      </c>
      <c r="P239" t="str">
        <v>Karuna</v>
      </c>
      <c r="Q239" t="str">
        <v>Pashupathy</v>
      </c>
      <c r="R239" t="str">
        <v>Female</v>
      </c>
      <c r="S239" t="str">
        <v>Product Management</v>
      </c>
      <c r="T239">
        <v>38438.239999999998</v>
      </c>
      <c r="U239" t="str">
        <v>Under 50k</v>
      </c>
      <c r="V239">
        <v>43962</v>
      </c>
      <c r="W239">
        <v>1</v>
      </c>
      <c r="X239" t="str">
        <v>Permanent</v>
      </c>
      <c r="Y239" t="str">
        <v>Chennai, India</v>
      </c>
      <c r="Z239">
        <v>4.1150684931506847</v>
      </c>
      <c r="AA239" t="str">
        <v>Full time</v>
      </c>
    </row>
    <row r="240" spans="15:27" x14ac:dyDescent="0.25">
      <c r="O240" t="str">
        <v>TN00214</v>
      </c>
      <c r="P240" t="str">
        <v>Devsena</v>
      </c>
      <c r="Q240" t="str">
        <v>Veluvalapalli</v>
      </c>
      <c r="R240" t="str">
        <v>Female</v>
      </c>
      <c r="S240" t="str">
        <v>Training</v>
      </c>
      <c r="T240">
        <v>37902.35</v>
      </c>
      <c r="U240" t="str">
        <v>Under 50k</v>
      </c>
      <c r="V240">
        <v>43823</v>
      </c>
      <c r="W240">
        <v>1</v>
      </c>
      <c r="X240" t="str">
        <v>Permanent</v>
      </c>
      <c r="Y240" t="str">
        <v>Chennai, India</v>
      </c>
      <c r="Z240">
        <v>4.4958904109589044</v>
      </c>
      <c r="AA240" t="str">
        <v>Full time</v>
      </c>
    </row>
    <row r="241" spans="15:27" x14ac:dyDescent="0.25">
      <c r="O241" t="str">
        <v>TN00214</v>
      </c>
      <c r="P241" t="str">
        <v>Hemavati</v>
      </c>
      <c r="Q241" t="str">
        <v>Muthiah</v>
      </c>
      <c r="R241" t="str">
        <v>Female</v>
      </c>
      <c r="S241" t="str">
        <v>Training</v>
      </c>
      <c r="T241">
        <v>37902.35</v>
      </c>
      <c r="U241" t="str">
        <v>Under 50k</v>
      </c>
      <c r="V241">
        <v>43823</v>
      </c>
      <c r="W241">
        <v>1</v>
      </c>
      <c r="X241" t="str">
        <v>Permanent</v>
      </c>
      <c r="Y241" t="str">
        <v>Chennai, India</v>
      </c>
      <c r="Z241">
        <v>4.4958904109589044</v>
      </c>
      <c r="AA241" t="str">
        <v>Full time</v>
      </c>
    </row>
    <row r="242" spans="15:27" x14ac:dyDescent="0.25">
      <c r="O242" t="str">
        <v>PR02782</v>
      </c>
      <c r="P242" t="str">
        <v>Isaak</v>
      </c>
      <c r="Q242" t="str">
        <v>Rawne</v>
      </c>
      <c r="R242" t="str">
        <v>Male</v>
      </c>
      <c r="S242" t="str">
        <v>Marketing</v>
      </c>
      <c r="T242">
        <v>37362.300000000003</v>
      </c>
      <c r="U242" t="str">
        <v>Under 50k</v>
      </c>
      <c r="V242">
        <v>43642</v>
      </c>
      <c r="W242">
        <v>1</v>
      </c>
      <c r="X242" t="str">
        <v>Permanent</v>
      </c>
      <c r="Y242" t="str">
        <v>Auckland, New Zealand</v>
      </c>
      <c r="Z242">
        <v>4.9917808219178079</v>
      </c>
      <c r="AA242" t="str">
        <v>Full time</v>
      </c>
    </row>
    <row r="243" spans="15:27" x14ac:dyDescent="0.25">
      <c r="O243" t="str">
        <v>VT03500</v>
      </c>
      <c r="P243" t="str">
        <v>Shiuli</v>
      </c>
      <c r="Q243" t="str">
        <v>Sapna</v>
      </c>
      <c r="R243" t="str">
        <v>Male</v>
      </c>
      <c r="S243" t="str">
        <v>Support</v>
      </c>
      <c r="T243">
        <v>37062.1</v>
      </c>
      <c r="U243" t="str">
        <v>Under 50k</v>
      </c>
      <c r="V243">
        <v>44357</v>
      </c>
      <c r="W243">
        <v>1</v>
      </c>
      <c r="X243" t="str">
        <v>Temporary</v>
      </c>
      <c r="Y243" t="str">
        <v>Chennai, India</v>
      </c>
      <c r="Z243">
        <v>3.032876712328767</v>
      </c>
      <c r="AA243" t="str">
        <v>Full time</v>
      </c>
    </row>
    <row r="244" spans="15:27" x14ac:dyDescent="0.25">
      <c r="O244" t="str">
        <v>PR03137</v>
      </c>
      <c r="P244" t="str">
        <v>Jagajeet</v>
      </c>
      <c r="Q244" t="str">
        <v>Viraj</v>
      </c>
      <c r="R244" t="str">
        <v>Male</v>
      </c>
      <c r="S244" t="str">
        <v>Support</v>
      </c>
      <c r="T244">
        <v>36714.379999999997</v>
      </c>
      <c r="U244" t="str">
        <v>Under 50k</v>
      </c>
      <c r="V244">
        <v>44175</v>
      </c>
      <c r="W244">
        <v>1</v>
      </c>
      <c r="X244" t="str">
        <v>Permanent</v>
      </c>
      <c r="Y244" t="str">
        <v>Chennai, India</v>
      </c>
      <c r="Z244">
        <v>3.5315068493150683</v>
      </c>
      <c r="AA244" t="str">
        <v>Full time</v>
      </c>
    </row>
    <row r="245" spans="15:27" x14ac:dyDescent="0.25">
      <c r="O245" t="str">
        <v>PR01956</v>
      </c>
      <c r="P245" t="str">
        <v>Jamesy</v>
      </c>
      <c r="Q245" t="str">
        <v>O'Ferris</v>
      </c>
      <c r="R245" t="str">
        <v>Male</v>
      </c>
      <c r="S245" t="str">
        <v>Accounting</v>
      </c>
      <c r="T245">
        <v>36547.58</v>
      </c>
      <c r="U245" t="str">
        <v>Under 50k</v>
      </c>
      <c r="V245">
        <v>43416</v>
      </c>
      <c r="W245">
        <v>1</v>
      </c>
      <c r="X245" t="str">
        <v>Permanent</v>
      </c>
      <c r="Y245" t="str">
        <v>Remote</v>
      </c>
      <c r="Z245">
        <v>5.6109589041095891</v>
      </c>
      <c r="AA245" t="str">
        <v>Full time</v>
      </c>
    </row>
    <row r="246" spans="15:27" x14ac:dyDescent="0.25">
      <c r="O246" t="str">
        <v>PR01956</v>
      </c>
      <c r="P246" t="str">
        <v>Jamesy</v>
      </c>
      <c r="Q246" t="str">
        <v>O'Ferris</v>
      </c>
      <c r="R246" t="str">
        <v>Male</v>
      </c>
      <c r="S246" t="str">
        <v>Accounting</v>
      </c>
      <c r="T246">
        <v>36547.58</v>
      </c>
      <c r="U246" t="str">
        <v>Under 50k</v>
      </c>
      <c r="V246">
        <v>43416</v>
      </c>
      <c r="W246">
        <v>1</v>
      </c>
      <c r="X246" t="str">
        <v>Permanent</v>
      </c>
      <c r="Y246" t="str">
        <v>Remote</v>
      </c>
      <c r="Z246">
        <v>5.6109589041095891</v>
      </c>
      <c r="AA246" t="str">
        <v>Full time</v>
      </c>
    </row>
    <row r="247" spans="15:27" x14ac:dyDescent="0.25">
      <c r="O247" t="str">
        <v>VT03552</v>
      </c>
      <c r="P247" t="str">
        <v>Kamalakshi</v>
      </c>
      <c r="Q247" t="str">
        <v>Mukundan</v>
      </c>
      <c r="R247" t="str">
        <v>Male</v>
      </c>
      <c r="S247" t="str">
        <v>Engineering</v>
      </c>
      <c r="T247">
        <v>36536.26</v>
      </c>
      <c r="U247" t="str">
        <v>Under 50k</v>
      </c>
      <c r="V247">
        <v>44358</v>
      </c>
      <c r="W247">
        <v>1</v>
      </c>
      <c r="X247" t="str">
        <v>Temporary</v>
      </c>
      <c r="Y247" t="str">
        <v>Hyderabad, India</v>
      </c>
      <c r="Z247">
        <v>3.0301369863013701</v>
      </c>
      <c r="AA247" t="str">
        <v>Full time</v>
      </c>
    </row>
    <row r="248" spans="15:27" x14ac:dyDescent="0.25">
      <c r="O248" t="str">
        <v>PR03844</v>
      </c>
      <c r="P248" t="str">
        <v>Brose</v>
      </c>
      <c r="Q248" t="str">
        <v>MacCorkell</v>
      </c>
      <c r="R248" t="str">
        <v>Female</v>
      </c>
      <c r="S248" t="str">
        <v>Human Resources</v>
      </c>
      <c r="T248">
        <v>35943.620000000003</v>
      </c>
      <c r="U248" t="str">
        <v>Under 50k</v>
      </c>
      <c r="V248">
        <v>44078</v>
      </c>
      <c r="W248">
        <v>1</v>
      </c>
      <c r="X248" t="str">
        <v>Permanent</v>
      </c>
      <c r="Y248" t="str">
        <v>Columbus, USA</v>
      </c>
      <c r="Z248">
        <v>3.7972602739726029</v>
      </c>
      <c r="AA248" t="str">
        <v>Full time</v>
      </c>
    </row>
    <row r="249" spans="15:27" x14ac:dyDescent="0.25">
      <c r="O249" t="str">
        <v>PR01055</v>
      </c>
      <c r="P249" t="str">
        <v>Devasree</v>
      </c>
      <c r="Q249" t="str">
        <v>Fullara</v>
      </c>
      <c r="R249" t="str">
        <v>Male</v>
      </c>
      <c r="S249" t="str">
        <v>Accounting</v>
      </c>
      <c r="T249">
        <v>35936.31</v>
      </c>
      <c r="U249" t="str">
        <v>Under 50k</v>
      </c>
      <c r="V249">
        <v>43241</v>
      </c>
      <c r="W249">
        <v>1</v>
      </c>
      <c r="X249" t="str">
        <v>Permanent</v>
      </c>
      <c r="Y249" t="str">
        <v>Chennai, India</v>
      </c>
      <c r="Z249">
        <v>6.0904109589041093</v>
      </c>
      <c r="AA249" t="str">
        <v>Full time</v>
      </c>
    </row>
    <row r="250" spans="15:27" x14ac:dyDescent="0.25">
      <c r="O250" t="str">
        <v>TN02798</v>
      </c>
      <c r="P250" t="str">
        <v>Krittika</v>
      </c>
      <c r="Q250" t="str">
        <v>Gaekwad</v>
      </c>
      <c r="R250" t="str">
        <v>Female</v>
      </c>
      <c r="S250" t="str">
        <v>Business Development</v>
      </c>
      <c r="T250">
        <v>33031.26</v>
      </c>
      <c r="U250" t="str">
        <v>Under 50k</v>
      </c>
      <c r="V250">
        <v>43468</v>
      </c>
      <c r="W250">
        <v>0.4</v>
      </c>
      <c r="X250" t="str">
        <v>Permanent</v>
      </c>
      <c r="Y250" t="str">
        <v>Hyderabad, India</v>
      </c>
      <c r="Z250">
        <v>5.4684931506849317</v>
      </c>
      <c r="AA250" t="str">
        <v>Part time</v>
      </c>
    </row>
    <row r="251" spans="15:27" x14ac:dyDescent="0.25">
      <c r="O251" t="str">
        <v>VT02532</v>
      </c>
      <c r="P251" t="str">
        <v>Adey</v>
      </c>
      <c r="Q251" t="str">
        <v>Ryal</v>
      </c>
      <c r="R251" t="str">
        <v>Female</v>
      </c>
      <c r="S251" t="str">
        <v>Legal</v>
      </c>
      <c r="T251">
        <v>32496.880000000001</v>
      </c>
      <c r="U251" t="str">
        <v>Under 50k</v>
      </c>
      <c r="V251">
        <v>43234</v>
      </c>
      <c r="W251">
        <v>1</v>
      </c>
      <c r="X251" t="str">
        <v>Temporary</v>
      </c>
      <c r="Y251" t="str">
        <v>Remote</v>
      </c>
      <c r="Z251">
        <v>6.1095890410958908</v>
      </c>
      <c r="AA251" t="str">
        <v>Full time</v>
      </c>
    </row>
    <row r="252" spans="15:27" x14ac:dyDescent="0.25">
      <c r="O252" t="str">
        <v>SQ01730</v>
      </c>
      <c r="P252" t="str">
        <v>Austine</v>
      </c>
      <c r="Q252" t="str">
        <v>Littlewood</v>
      </c>
      <c r="R252" t="str">
        <v>Female</v>
      </c>
      <c r="S252" t="str">
        <v>Services</v>
      </c>
      <c r="T252">
        <v>32269.91</v>
      </c>
      <c r="U252" t="str">
        <v>Under 50k</v>
      </c>
      <c r="V252">
        <v>43346</v>
      </c>
      <c r="W252">
        <v>1</v>
      </c>
      <c r="X252" t="str">
        <v>Permanent</v>
      </c>
      <c r="Y252" t="str">
        <v>Remote</v>
      </c>
      <c r="Z252">
        <v>5.8027397260273972</v>
      </c>
      <c r="AA252" t="str">
        <v>Full time</v>
      </c>
    </row>
    <row r="253" spans="15:27" x14ac:dyDescent="0.25">
      <c r="O253" t="str">
        <v>PR03034</v>
      </c>
      <c r="P253" t="str">
        <v>Sreenivasa</v>
      </c>
      <c r="Q253" t="str">
        <v>Naik</v>
      </c>
      <c r="R253" t="str">
        <v>Male</v>
      </c>
      <c r="S253" t="str">
        <v>Sales</v>
      </c>
      <c r="T253">
        <v>32192.15</v>
      </c>
      <c r="U253" t="str">
        <v>Under 50k</v>
      </c>
      <c r="V253">
        <v>44473</v>
      </c>
      <c r="W253">
        <v>1</v>
      </c>
      <c r="X253" t="str">
        <v>Permanent</v>
      </c>
      <c r="Y253" t="str">
        <v>Hyderabad, India</v>
      </c>
      <c r="Z253">
        <v>2.7150684931506848</v>
      </c>
      <c r="AA253" t="str">
        <v>Full time</v>
      </c>
    </row>
    <row r="254" spans="15:27" x14ac:dyDescent="0.25">
      <c r="O254" t="str">
        <v>TN03097</v>
      </c>
      <c r="P254" t="str">
        <v>Bendite</v>
      </c>
      <c r="Q254" t="str">
        <v>Bloan</v>
      </c>
      <c r="R254" t="str">
        <v>Male</v>
      </c>
      <c r="S254" t="str">
        <v>Marketing</v>
      </c>
      <c r="T254">
        <v>31816.57</v>
      </c>
      <c r="U254" t="str">
        <v>Under 50k</v>
      </c>
      <c r="V254">
        <v>43497</v>
      </c>
      <c r="W254">
        <v>0.3</v>
      </c>
      <c r="X254" t="str">
        <v>Fixed Term</v>
      </c>
      <c r="Y254" t="str">
        <v>Remote</v>
      </c>
      <c r="Z254">
        <v>5.3890410958904109</v>
      </c>
      <c r="AA254" t="str">
        <v>Part time</v>
      </c>
    </row>
    <row r="255" spans="15:27" x14ac:dyDescent="0.25">
      <c r="O255" t="str">
        <v>SQ01829</v>
      </c>
      <c r="P255" t="str">
        <v>Mabel</v>
      </c>
      <c r="Q255" t="str">
        <v>Orrow</v>
      </c>
      <c r="R255" t="str">
        <v>Male</v>
      </c>
      <c r="S255" t="str">
        <v>Product Management</v>
      </c>
      <c r="T255">
        <v>31241.24</v>
      </c>
      <c r="U255" t="str">
        <v>Under 50k</v>
      </c>
      <c r="V255">
        <v>43725</v>
      </c>
      <c r="W255">
        <v>1</v>
      </c>
      <c r="X255" t="str">
        <v>Permanent</v>
      </c>
      <c r="Y255" t="str">
        <v>Remote</v>
      </c>
      <c r="Z255">
        <v>4.7643835616438359</v>
      </c>
      <c r="AA255" t="str">
        <v>Full time</v>
      </c>
    </row>
    <row r="256" spans="15:27" x14ac:dyDescent="0.25">
      <c r="O256" t="str">
        <v>VT01740</v>
      </c>
      <c r="P256" t="str">
        <v>Ginger</v>
      </c>
      <c r="Q256" t="str">
        <v>Myott</v>
      </c>
      <c r="R256" t="str">
        <v>Female</v>
      </c>
      <c r="S256" t="str">
        <v>Services</v>
      </c>
      <c r="T256">
        <v>31172.77</v>
      </c>
      <c r="U256" t="str">
        <v>Under 50k</v>
      </c>
      <c r="V256">
        <v>43665</v>
      </c>
      <c r="W256">
        <v>1</v>
      </c>
      <c r="X256" t="str">
        <v>Fixed Term</v>
      </c>
      <c r="Y256" t="str">
        <v>Remote</v>
      </c>
      <c r="Z256">
        <v>4.9287671232876713</v>
      </c>
      <c r="AA256" t="str">
        <v>Full time</v>
      </c>
    </row>
    <row r="257" spans="15:27" x14ac:dyDescent="0.25">
      <c r="O257" t="str">
        <v>TN04775</v>
      </c>
      <c r="P257" t="str">
        <v>Hridaynath</v>
      </c>
      <c r="Q257" t="str">
        <v>Tendulkar</v>
      </c>
      <c r="R257" t="str">
        <v>Female</v>
      </c>
      <c r="S257" t="str">
        <v>Legal</v>
      </c>
      <c r="T257">
        <v>31089.22</v>
      </c>
      <c r="U257" t="str">
        <v>Under 50k</v>
      </c>
      <c r="V257">
        <v>43776</v>
      </c>
      <c r="W257">
        <v>1</v>
      </c>
      <c r="X257" t="str">
        <v>Fixed Term</v>
      </c>
      <c r="Y257" t="str">
        <v>Chennai, India</v>
      </c>
      <c r="Z257">
        <v>4.624657534246575</v>
      </c>
      <c r="AA257" t="str">
        <v>Full time</v>
      </c>
    </row>
    <row r="258" spans="15:27" x14ac:dyDescent="0.25">
      <c r="O258" t="str">
        <v>VT01249</v>
      </c>
      <c r="P258" t="str">
        <v>Brendan</v>
      </c>
      <c r="Q258" t="str">
        <v>Edgeller</v>
      </c>
      <c r="R258" t="str">
        <v>Female</v>
      </c>
      <c r="S258" t="str">
        <v>Legal</v>
      </c>
      <c r="T258">
        <v>31042.51</v>
      </c>
      <c r="U258" t="str">
        <v>Under 50k</v>
      </c>
      <c r="V258">
        <v>44473</v>
      </c>
      <c r="W258">
        <v>0.3</v>
      </c>
      <c r="X258" t="str">
        <v>Fixed Term</v>
      </c>
      <c r="Y258" t="str">
        <v>Remote</v>
      </c>
      <c r="Z258">
        <v>2.7150684931506848</v>
      </c>
      <c r="AA258" t="str">
        <v>Part time</v>
      </c>
    </row>
    <row r="259" spans="15:27" x14ac:dyDescent="0.25">
      <c r="O259" t="str">
        <v>TN01396</v>
      </c>
      <c r="P259" t="str">
        <v>Koral</v>
      </c>
      <c r="Q259" t="str">
        <v>Gerriet</v>
      </c>
      <c r="R259" t="str">
        <v>Male</v>
      </c>
      <c r="S259" t="str">
        <v>Support</v>
      </c>
      <c r="T259">
        <v>30077.45</v>
      </c>
      <c r="U259" t="str">
        <v>Under 50k</v>
      </c>
      <c r="V259">
        <v>43474</v>
      </c>
      <c r="W259">
        <v>1</v>
      </c>
      <c r="X259" t="str">
        <v>Permanent</v>
      </c>
      <c r="Y259" t="str">
        <v>Wellington, New Zealand</v>
      </c>
      <c r="Z259">
        <v>5.4520547945205475</v>
      </c>
      <c r="AA259" t="str">
        <v>Full time</v>
      </c>
    </row>
    <row r="260" spans="15:27" x14ac:dyDescent="0.25">
      <c r="O260" t="str">
        <v>VT04905</v>
      </c>
      <c r="P260" t="str">
        <v>Suchira</v>
      </c>
      <c r="Q260" t="str">
        <v>Bhanupriya</v>
      </c>
      <c r="R260" t="str">
        <v>Female</v>
      </c>
      <c r="S260" t="str">
        <v>Human Resources</v>
      </c>
      <c r="T260">
        <v>29808.07</v>
      </c>
      <c r="U260" t="str">
        <v>Under 50k</v>
      </c>
      <c r="V260">
        <v>43291</v>
      </c>
      <c r="W260">
        <v>0.3</v>
      </c>
      <c r="X260" t="str">
        <v>Temporary</v>
      </c>
      <c r="Y260" t="str">
        <v>Hyderabad, India</v>
      </c>
      <c r="Z260">
        <v>5.9534246575342467</v>
      </c>
      <c r="AA260" t="str">
        <v>Part time</v>
      </c>
    </row>
    <row r="261" spans="15:27" x14ac:dyDescent="0.25">
      <c r="O261" t="str">
        <v>PR00770</v>
      </c>
      <c r="P261" t="str">
        <v>Beryl</v>
      </c>
      <c r="Q261" t="str">
        <v>Burnsyde</v>
      </c>
      <c r="R261" t="str">
        <v>Male</v>
      </c>
      <c r="S261" t="str">
        <v>Legal</v>
      </c>
      <c r="T261">
        <v>29774.76</v>
      </c>
      <c r="U261" t="str">
        <v>Under 50k</v>
      </c>
      <c r="V261">
        <v>44105</v>
      </c>
      <c r="W261">
        <v>1</v>
      </c>
      <c r="X261" t="str">
        <v>Permanent</v>
      </c>
      <c r="Y261" t="str">
        <v>Wellington, New Zealand</v>
      </c>
      <c r="Z261">
        <v>3.7232876712328768</v>
      </c>
      <c r="AA261" t="str">
        <v>Full time</v>
      </c>
    </row>
    <row r="262" spans="15:27" x14ac:dyDescent="0.25">
      <c r="O262" t="str">
        <v>TN02727</v>
      </c>
      <c r="P262" t="str">
        <v>Wald</v>
      </c>
      <c r="Q262" t="str">
        <v>Bountiff</v>
      </c>
      <c r="R262" t="str">
        <v>Female</v>
      </c>
      <c r="S262" t="str">
        <v>Support</v>
      </c>
      <c r="T262">
        <v>28974.03</v>
      </c>
      <c r="U262" t="str">
        <v>Under 50k</v>
      </c>
      <c r="V262">
        <v>43733</v>
      </c>
      <c r="W262">
        <v>1</v>
      </c>
      <c r="X262" t="str">
        <v>Permanent</v>
      </c>
      <c r="Y262" t="str">
        <v>Auckland, New Zealand</v>
      </c>
      <c r="Z262">
        <v>4.7424657534246579</v>
      </c>
      <c r="AA262" t="str">
        <v>Full time</v>
      </c>
    </row>
    <row r="263" spans="15:27" x14ac:dyDescent="0.25">
      <c r="O263" t="str">
        <v>TN01256</v>
      </c>
      <c r="P263" t="str">
        <v>Shattesh</v>
      </c>
      <c r="Q263" t="str">
        <v>Utpat</v>
      </c>
      <c r="R263" t="str">
        <v>Male</v>
      </c>
      <c r="S263" t="str">
        <v>Legal</v>
      </c>
      <c r="T263">
        <v>28481.16</v>
      </c>
      <c r="U263" t="str">
        <v>Under 50k</v>
      </c>
      <c r="V263">
        <v>43916</v>
      </c>
      <c r="W263">
        <v>1</v>
      </c>
      <c r="X263" t="str">
        <v>Permanent</v>
      </c>
      <c r="Y263" t="str">
        <v>Hyderabad, India</v>
      </c>
      <c r="Z263">
        <v>4.2410958904109588</v>
      </c>
      <c r="AA263" t="str">
        <v>Full time</v>
      </c>
    </row>
    <row r="264" spans="15:27" x14ac:dyDescent="0.25">
      <c r="O264" t="str">
        <v>TN01256</v>
      </c>
      <c r="P264" t="str">
        <v>Sawini</v>
      </c>
      <c r="Q264" t="str">
        <v>Chandan</v>
      </c>
      <c r="R264" t="str">
        <v>Male</v>
      </c>
      <c r="S264" t="str">
        <v>Legal</v>
      </c>
      <c r="T264">
        <v>28481.16</v>
      </c>
      <c r="U264" t="str">
        <v>Under 50k</v>
      </c>
      <c r="V264">
        <v>43916</v>
      </c>
      <c r="W264">
        <v>1</v>
      </c>
      <c r="X264" t="str">
        <v>Permanent</v>
      </c>
      <c r="Y264" t="str">
        <v>Hyderabad, India</v>
      </c>
      <c r="Z264">
        <v>4.2410958904109588</v>
      </c>
      <c r="AA264" t="str">
        <v>Full time</v>
      </c>
    </row>
    <row r="265" spans="15:27" x14ac:dyDescent="0.25">
      <c r="O265" t="str">
        <v>VT02663</v>
      </c>
      <c r="P265" t="str">
        <v>Sravanthi</v>
      </c>
      <c r="Q265" t="str">
        <v>Chalaki</v>
      </c>
      <c r="R265" t="str">
        <v>Male</v>
      </c>
      <c r="S265" t="str">
        <v>Legal</v>
      </c>
      <c r="T265">
        <v>28481.16</v>
      </c>
      <c r="U265" t="str">
        <v>Under 50k</v>
      </c>
      <c r="V265">
        <v>44228</v>
      </c>
      <c r="W265">
        <v>1</v>
      </c>
      <c r="X265" t="str">
        <v>Temporary</v>
      </c>
      <c r="Y265" t="str">
        <v>Chennai, India</v>
      </c>
      <c r="Z265">
        <v>3.3863013698630136</v>
      </c>
      <c r="AA265" t="str">
        <v>Full time</v>
      </c>
    </row>
    <row r="266" spans="15:27" x14ac:dyDescent="0.25">
      <c r="O266" t="str">
        <v>TN02397</v>
      </c>
      <c r="P266" t="str">
        <v>Mendel</v>
      </c>
      <c r="Q266" t="str">
        <v>Gentsch</v>
      </c>
      <c r="R266" t="str">
        <v>Male</v>
      </c>
      <c r="S266" t="str">
        <v>Human Resources</v>
      </c>
      <c r="T266">
        <v>28329.77</v>
      </c>
      <c r="U266" t="str">
        <v>Under 50k</v>
      </c>
      <c r="V266">
        <v>43402</v>
      </c>
      <c r="W266">
        <v>1</v>
      </c>
      <c r="X266" t="str">
        <v>Permanent</v>
      </c>
      <c r="Y266" t="str">
        <v>Seattle, USA</v>
      </c>
      <c r="Z266">
        <v>5.6493150684931503</v>
      </c>
      <c r="AA266" t="str">
        <v>Full time</v>
      </c>
    </row>
    <row r="267" spans="15:27" x14ac:dyDescent="0.25">
      <c r="O267" t="str">
        <v>SQ04437</v>
      </c>
      <c r="P267" t="str">
        <v>Hephzibah</v>
      </c>
      <c r="Q267" t="str">
        <v>Summerell</v>
      </c>
      <c r="R267" t="str">
        <v>Female</v>
      </c>
      <c r="S267" t="str">
        <v>Services</v>
      </c>
      <c r="T267">
        <v>28305.08</v>
      </c>
      <c r="U267" t="str">
        <v>Under 50k</v>
      </c>
      <c r="V267">
        <v>43754</v>
      </c>
      <c r="W267">
        <v>1</v>
      </c>
      <c r="X267" t="str">
        <v>Permanent</v>
      </c>
      <c r="Y267" t="str">
        <v>Remote</v>
      </c>
      <c r="Z267">
        <v>4.6849315068493151</v>
      </c>
      <c r="AA267" t="str">
        <v>Full time</v>
      </c>
    </row>
    <row r="268" spans="15:27" x14ac:dyDescent="0.25">
      <c r="O268" t="str">
        <v>VT04373</v>
      </c>
      <c r="P268" t="str">
        <v>Edi</v>
      </c>
      <c r="Q268" t="str">
        <v>Hofton</v>
      </c>
      <c r="R268" t="str">
        <v>Male</v>
      </c>
      <c r="S268" t="str">
        <v>Research and Development</v>
      </c>
      <c r="T268">
        <v>28160.79</v>
      </c>
      <c r="U268" t="str">
        <v>Under 50k</v>
      </c>
      <c r="V268">
        <v>43129</v>
      </c>
      <c r="W268">
        <v>1</v>
      </c>
      <c r="X268" t="str">
        <v>Temporary</v>
      </c>
      <c r="Y268" t="str">
        <v>Remote</v>
      </c>
      <c r="Z268">
        <v>6.397260273972603</v>
      </c>
      <c r="AA268" t="str">
        <v>Full time</v>
      </c>
    </row>
  </sheetData>
  <mergeCells count="1">
    <mergeCell ref="A2:M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16D8-0B1F-4381-8494-B684103ABA61}">
  <sheetPr>
    <tabColor theme="7" tint="-0.249977111117893"/>
  </sheetPr>
  <dimension ref="A1:N18"/>
  <sheetViews>
    <sheetView workbookViewId="0">
      <selection activeCell="H11" sqref="H11"/>
    </sheetView>
  </sheetViews>
  <sheetFormatPr defaultRowHeight="15" x14ac:dyDescent="0.25"/>
  <cols>
    <col min="2" max="2" width="12.28515625" customWidth="1"/>
    <col min="3" max="3" width="10.5703125" customWidth="1"/>
    <col min="4" max="4" width="44" customWidth="1"/>
    <col min="5" max="5" width="11.85546875" customWidth="1"/>
    <col min="13" max="13" width="39.140625" customWidth="1"/>
    <col min="14" max="14" width="35.140625" customWidth="1"/>
  </cols>
  <sheetData>
    <row r="1" spans="1:14" x14ac:dyDescent="0.25">
      <c r="A1" s="12">
        <v>5</v>
      </c>
      <c r="B1" s="13" t="s">
        <v>748</v>
      </c>
      <c r="C1" s="13"/>
      <c r="D1" s="15" t="s">
        <v>804</v>
      </c>
      <c r="E1" s="25" t="s">
        <v>764</v>
      </c>
    </row>
    <row r="4" spans="1:14" x14ac:dyDescent="0.25">
      <c r="I4" s="67" t="s">
        <v>803</v>
      </c>
      <c r="J4" s="67"/>
      <c r="K4" s="67"/>
      <c r="L4" s="67"/>
      <c r="M4" s="67"/>
      <c r="N4" s="67"/>
    </row>
    <row r="5" spans="1:14" x14ac:dyDescent="0.25">
      <c r="B5" t="s">
        <v>4</v>
      </c>
      <c r="F5" t="s">
        <v>801</v>
      </c>
      <c r="G5">
        <f>COUNTA(_xlfn.ANCHORARRAY(B6))</f>
        <v>13</v>
      </c>
      <c r="I5" t="s">
        <v>4</v>
      </c>
    </row>
    <row r="6" spans="1:14" x14ac:dyDescent="0.25">
      <c r="B6" t="str" cm="1">
        <f t="array" ref="B6:B18">_xlfn._xlws.SORT(_xlfn.UNIQUE(staff[Department]),,1)</f>
        <v>Accounting</v>
      </c>
      <c r="F6" s="64" t="s">
        <v>805</v>
      </c>
      <c r="G6" s="64"/>
      <c r="H6" s="64"/>
      <c r="I6" t="str">
        <f>_xlfn.TEXTJOIN(", ",TRUE,_xlfn.ANCHORARRAY(B6))</f>
        <v>Accounting, Business Development, Business Growth, Engineering, Human Resources, Legal, Marketing, Product Management, Research and Development, Sales, Services, Support, Training</v>
      </c>
    </row>
    <row r="7" spans="1:14" x14ac:dyDescent="0.25">
      <c r="B7" t="str">
        <v>Business Development</v>
      </c>
    </row>
    <row r="8" spans="1:14" x14ac:dyDescent="0.25">
      <c r="B8" t="str">
        <v>Business Growth</v>
      </c>
    </row>
    <row r="9" spans="1:14" x14ac:dyDescent="0.25">
      <c r="B9" t="str">
        <v>Engineering</v>
      </c>
    </row>
    <row r="10" spans="1:14" x14ac:dyDescent="0.25">
      <c r="B10" t="str">
        <v>Human Resources</v>
      </c>
    </row>
    <row r="11" spans="1:14" x14ac:dyDescent="0.25">
      <c r="B11" t="str">
        <v>Legal</v>
      </c>
    </row>
    <row r="12" spans="1:14" x14ac:dyDescent="0.25">
      <c r="B12" t="str">
        <v>Marketing</v>
      </c>
    </row>
    <row r="13" spans="1:14" x14ac:dyDescent="0.25">
      <c r="B13" t="str">
        <v>Product Management</v>
      </c>
    </row>
    <row r="14" spans="1:14" x14ac:dyDescent="0.25">
      <c r="B14" t="str">
        <v>Research and Development</v>
      </c>
    </row>
    <row r="15" spans="1:14" x14ac:dyDescent="0.25">
      <c r="B15" t="str">
        <v>Sales</v>
      </c>
    </row>
    <row r="16" spans="1:14" x14ac:dyDescent="0.25">
      <c r="B16" t="str">
        <v>Services</v>
      </c>
    </row>
    <row r="17" spans="2:2" x14ac:dyDescent="0.25">
      <c r="B17" t="str">
        <v>Support</v>
      </c>
    </row>
    <row r="18" spans="2:2" x14ac:dyDescent="0.25">
      <c r="B18" t="str">
        <v>Training</v>
      </c>
    </row>
  </sheetData>
  <mergeCells count="2">
    <mergeCell ref="I4:N4"/>
    <mergeCell ref="F6:H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54D6-213E-43A1-B73C-7B7A18207F77}">
  <sheetPr>
    <tabColor theme="9" tint="-0.249977111117893"/>
  </sheetPr>
  <dimension ref="A1:AH266"/>
  <sheetViews>
    <sheetView zoomScale="119" workbookViewId="0">
      <selection activeCell="D34" sqref="D34"/>
    </sheetView>
  </sheetViews>
  <sheetFormatPr defaultRowHeight="15" x14ac:dyDescent="0.25"/>
  <cols>
    <col min="3" max="3" width="17.7109375" customWidth="1"/>
    <col min="4" max="4" width="24.28515625" customWidth="1"/>
    <col min="5" max="5" width="19.28515625" customWidth="1"/>
    <col min="6" max="6" width="14.5703125" customWidth="1"/>
    <col min="9" max="9" width="2.85546875" customWidth="1"/>
    <col min="10" max="10" width="16.42578125" customWidth="1"/>
    <col min="11" max="11" width="22.7109375" customWidth="1"/>
    <col min="12" max="12" width="17.28515625" customWidth="1"/>
    <col min="13" max="13" width="14.28515625" bestFit="1" customWidth="1"/>
    <col min="15" max="15" width="13.140625" customWidth="1"/>
    <col min="16" max="16" width="13.85546875" bestFit="1" customWidth="1"/>
    <col min="17" max="17" width="14.85546875" bestFit="1" customWidth="1"/>
    <col min="18" max="18" width="13.7109375" bestFit="1" customWidth="1"/>
    <col min="19" max="19" width="25.85546875" bestFit="1" customWidth="1"/>
    <col min="20" max="20" width="14.85546875" bestFit="1" customWidth="1"/>
    <col min="21" max="21" width="12.7109375" bestFit="1" customWidth="1"/>
    <col min="22" max="22" width="9.7109375" bestFit="1" customWidth="1"/>
    <col min="23" max="23" width="4" bestFit="1" customWidth="1"/>
    <col min="24" max="24" width="14.42578125" bestFit="1" customWidth="1"/>
    <col min="25" max="25" width="23.85546875" bestFit="1" customWidth="1"/>
    <col min="26" max="26" width="12" bestFit="1" customWidth="1"/>
    <col min="27" max="27" width="10.42578125" bestFit="1" customWidth="1"/>
    <col min="31" max="31" width="12.42578125" bestFit="1" customWidth="1"/>
    <col min="32" max="32" width="12.28515625" bestFit="1" customWidth="1"/>
    <col min="34" max="34" width="13.28515625" bestFit="1" customWidth="1"/>
    <col min="35" max="35" width="7.85546875" bestFit="1" customWidth="1"/>
    <col min="36" max="36" width="15.85546875" bestFit="1" customWidth="1"/>
    <col min="37" max="37" width="11.28515625" bestFit="1" customWidth="1"/>
    <col min="38" max="38" width="5.85546875" bestFit="1" customWidth="1"/>
    <col min="39" max="39" width="16.85546875" bestFit="1" customWidth="1"/>
    <col min="40" max="40" width="15.42578125" bestFit="1" customWidth="1"/>
    <col min="41" max="41" width="8.85546875" bestFit="1" customWidth="1"/>
    <col min="42" max="42" width="12.85546875" bestFit="1" customWidth="1"/>
  </cols>
  <sheetData>
    <row r="1" spans="1:34" x14ac:dyDescent="0.25">
      <c r="A1" s="12">
        <v>6</v>
      </c>
      <c r="B1" s="13" t="s">
        <v>749</v>
      </c>
      <c r="C1" s="13"/>
      <c r="D1" s="15" t="s">
        <v>750</v>
      </c>
    </row>
    <row r="2" spans="1:34" x14ac:dyDescent="0.25">
      <c r="A2" s="12">
        <v>7</v>
      </c>
      <c r="B2" s="13" t="s">
        <v>749</v>
      </c>
      <c r="C2" s="13"/>
      <c r="D2" s="15" t="s">
        <v>760</v>
      </c>
      <c r="E2" s="25" t="s">
        <v>765</v>
      </c>
    </row>
    <row r="4" spans="1:34" ht="15.75" x14ac:dyDescent="0.25">
      <c r="C4" s="72" t="s">
        <v>806</v>
      </c>
      <c r="D4" s="72"/>
    </row>
    <row r="5" spans="1:34" x14ac:dyDescent="0.25">
      <c r="C5" s="71" t="s">
        <v>809</v>
      </c>
      <c r="D5" s="71"/>
    </row>
    <row r="6" spans="1:34" x14ac:dyDescent="0.25">
      <c r="C6" s="29" t="s">
        <v>807</v>
      </c>
      <c r="D6" s="26" t="s">
        <v>59</v>
      </c>
      <c r="O6" t="s">
        <v>0</v>
      </c>
      <c r="P6" t="s">
        <v>1</v>
      </c>
      <c r="Q6" t="s">
        <v>2</v>
      </c>
      <c r="R6" t="s">
        <v>3</v>
      </c>
      <c r="S6" t="s">
        <v>4</v>
      </c>
      <c r="T6" s="33" t="s">
        <v>5</v>
      </c>
      <c r="U6" t="s">
        <v>6</v>
      </c>
      <c r="V6" t="s">
        <v>7</v>
      </c>
      <c r="W6" t="s">
        <v>8</v>
      </c>
      <c r="X6" t="s">
        <v>9</v>
      </c>
      <c r="Y6" t="s">
        <v>10</v>
      </c>
      <c r="Z6" t="s">
        <v>738</v>
      </c>
      <c r="AA6" t="s">
        <v>11</v>
      </c>
    </row>
    <row r="7" spans="1:34" x14ac:dyDescent="0.25">
      <c r="F7" s="71" t="s">
        <v>815</v>
      </c>
      <c r="G7" s="71"/>
      <c r="O7" t="s">
        <v>627</v>
      </c>
      <c r="P7" t="s">
        <v>628</v>
      </c>
      <c r="Q7" t="s">
        <v>629</v>
      </c>
      <c r="R7" t="s">
        <v>24</v>
      </c>
      <c r="S7" t="s">
        <v>36</v>
      </c>
      <c r="T7" s="33">
        <v>96135.75</v>
      </c>
      <c r="U7" t="s">
        <v>26</v>
      </c>
      <c r="V7">
        <v>44025</v>
      </c>
      <c r="W7">
        <v>0.3</v>
      </c>
      <c r="X7" t="s">
        <v>18</v>
      </c>
      <c r="Y7" t="s">
        <v>45</v>
      </c>
      <c r="Z7">
        <v>3.9424657534246577</v>
      </c>
      <c r="AA7" t="s">
        <v>28</v>
      </c>
    </row>
    <row r="8" spans="1:34" x14ac:dyDescent="0.25">
      <c r="C8" s="67" t="s">
        <v>808</v>
      </c>
      <c r="D8" s="67"/>
      <c r="O8" t="s">
        <v>309</v>
      </c>
      <c r="P8" t="s">
        <v>310</v>
      </c>
      <c r="Q8" t="s">
        <v>311</v>
      </c>
      <c r="R8" t="s">
        <v>24</v>
      </c>
      <c r="S8" t="s">
        <v>25</v>
      </c>
      <c r="T8" s="33">
        <v>70649.460000000006</v>
      </c>
      <c r="U8" t="s">
        <v>26</v>
      </c>
      <c r="V8">
        <v>43843</v>
      </c>
      <c r="W8">
        <v>1</v>
      </c>
      <c r="X8" t="s">
        <v>18</v>
      </c>
      <c r="Y8" t="s">
        <v>41</v>
      </c>
      <c r="Z8">
        <v>4.441095890410959</v>
      </c>
      <c r="AA8" t="s">
        <v>20</v>
      </c>
    </row>
    <row r="9" spans="1:34" x14ac:dyDescent="0.25">
      <c r="B9">
        <v>2</v>
      </c>
      <c r="C9" t="s">
        <v>1</v>
      </c>
      <c r="D9" s="48" t="str">
        <f>IFERROR(VLOOKUP(D$6,staff[],B9,),"Not Found")</f>
        <v>Billi</v>
      </c>
      <c r="E9" s="55" t="str">
        <f>VLOOKUP(D$6,staff[],B9,FALSE)</f>
        <v>Billi</v>
      </c>
      <c r="F9" s="55" t="str">
        <f>_xlfn.XLOOKUP(D$6,staff[Emp ID],staff[First Name])</f>
        <v>Billi</v>
      </c>
      <c r="O9" t="s">
        <v>608</v>
      </c>
      <c r="P9" t="s">
        <v>283</v>
      </c>
      <c r="Q9" t="s">
        <v>284</v>
      </c>
      <c r="R9" t="s">
        <v>24</v>
      </c>
      <c r="S9" t="s">
        <v>802</v>
      </c>
      <c r="T9" s="33">
        <v>80695.740000000005</v>
      </c>
      <c r="U9" t="s">
        <v>26</v>
      </c>
      <c r="V9">
        <v>43360</v>
      </c>
      <c r="W9">
        <v>1</v>
      </c>
      <c r="X9" t="s">
        <v>18</v>
      </c>
      <c r="Y9" t="s">
        <v>72</v>
      </c>
      <c r="Z9">
        <v>5.7643835616438359</v>
      </c>
      <c r="AA9" t="s">
        <v>20</v>
      </c>
    </row>
    <row r="10" spans="1:34" x14ac:dyDescent="0.25">
      <c r="B10">
        <v>3</v>
      </c>
      <c r="C10" t="s">
        <v>2</v>
      </c>
      <c r="D10" s="48" t="str">
        <f>IFERROR(VLOOKUP(D$6,staff[],B10,),"Not Found")</f>
        <v>Fellgate</v>
      </c>
      <c r="E10" s="55" t="str">
        <f>VLOOKUP(D$6,staff[],B10,FALSE)</f>
        <v>Fellgate</v>
      </c>
      <c r="F10" s="55" t="str">
        <f>_xlfn.XLOOKUP(D$6,staff[Emp ID],staff[Last Name])</f>
        <v>Fellgate</v>
      </c>
      <c r="O10" t="s">
        <v>608</v>
      </c>
      <c r="P10" t="s">
        <v>283</v>
      </c>
      <c r="Q10" t="s">
        <v>284</v>
      </c>
      <c r="R10" t="s">
        <v>24</v>
      </c>
      <c r="S10" t="s">
        <v>25</v>
      </c>
      <c r="T10" s="33">
        <v>80695.740000000005</v>
      </c>
      <c r="U10" t="s">
        <v>26</v>
      </c>
      <c r="V10">
        <v>43360</v>
      </c>
      <c r="W10">
        <v>1</v>
      </c>
      <c r="X10" t="s">
        <v>18</v>
      </c>
      <c r="Y10" t="s">
        <v>72</v>
      </c>
      <c r="Z10">
        <v>5.7643835616438359</v>
      </c>
      <c r="AA10" t="s">
        <v>20</v>
      </c>
    </row>
    <row r="11" spans="1:34" x14ac:dyDescent="0.25">
      <c r="B11">
        <v>5</v>
      </c>
      <c r="C11" t="s">
        <v>4</v>
      </c>
      <c r="D11" s="48" t="str">
        <f>IFERROR(VLOOKUP(D$6,staff[],B11,),"Not Found")</f>
        <v>Business Development</v>
      </c>
      <c r="E11" s="55" t="str">
        <f>VLOOKUP(D$6,staff[],B11,FALSE)</f>
        <v>Business Development</v>
      </c>
      <c r="F11" s="55" t="str">
        <f>_xlfn.XLOOKUP(D$6,staff[Emp ID],staff[Department])</f>
        <v>Business Development</v>
      </c>
      <c r="O11" t="s">
        <v>12</v>
      </c>
      <c r="P11" t="s">
        <v>13</v>
      </c>
      <c r="Q11" t="s">
        <v>14</v>
      </c>
      <c r="R11" t="s">
        <v>15</v>
      </c>
      <c r="S11" t="s">
        <v>16</v>
      </c>
      <c r="T11" s="33">
        <v>120000</v>
      </c>
      <c r="U11" t="s">
        <v>17</v>
      </c>
      <c r="V11">
        <v>43416</v>
      </c>
      <c r="W11">
        <v>1</v>
      </c>
      <c r="X11" t="s">
        <v>18</v>
      </c>
      <c r="Y11" t="s">
        <v>19</v>
      </c>
      <c r="Z11">
        <v>5.6109589041095891</v>
      </c>
      <c r="AA11" t="s">
        <v>20</v>
      </c>
    </row>
    <row r="12" spans="1:34" x14ac:dyDescent="0.25">
      <c r="B12">
        <v>6</v>
      </c>
      <c r="C12" t="s">
        <v>5</v>
      </c>
      <c r="D12" s="48">
        <f>IFERROR(VLOOKUP(D$6,staff[],B12,),"Not Found")</f>
        <v>68980.52</v>
      </c>
      <c r="E12" s="48">
        <f>VLOOKUP(D$6,staff[],B12,FALSE)</f>
        <v>68980.52</v>
      </c>
      <c r="F12" s="48">
        <f>_xlfn.XLOOKUP(D$6,staff[Emp ID],staff[Salary])</f>
        <v>68980.52</v>
      </c>
      <c r="O12" t="s">
        <v>645</v>
      </c>
      <c r="P12" t="s">
        <v>646</v>
      </c>
      <c r="Q12" t="s">
        <v>647</v>
      </c>
      <c r="R12" t="s">
        <v>24</v>
      </c>
      <c r="S12" t="s">
        <v>54</v>
      </c>
      <c r="T12" s="33">
        <v>67905.8</v>
      </c>
      <c r="U12" t="s">
        <v>26</v>
      </c>
      <c r="V12">
        <v>44194</v>
      </c>
      <c r="W12">
        <v>1</v>
      </c>
      <c r="X12" t="s">
        <v>18</v>
      </c>
      <c r="Y12" t="s">
        <v>19</v>
      </c>
      <c r="Z12">
        <v>3.4794520547945207</v>
      </c>
      <c r="AA12" t="s">
        <v>20</v>
      </c>
    </row>
    <row r="13" spans="1:34" x14ac:dyDescent="0.25">
      <c r="K13" s="64" t="s">
        <v>814</v>
      </c>
      <c r="L13" s="64"/>
      <c r="M13" s="26" t="s">
        <v>816</v>
      </c>
      <c r="O13" t="s">
        <v>59</v>
      </c>
      <c r="P13" t="s">
        <v>60</v>
      </c>
      <c r="Q13" t="s">
        <v>61</v>
      </c>
      <c r="R13" t="s">
        <v>24</v>
      </c>
      <c r="S13" t="s">
        <v>25</v>
      </c>
      <c r="T13" s="33">
        <v>68980.52</v>
      </c>
      <c r="U13" t="s">
        <v>26</v>
      </c>
      <c r="V13">
        <v>43494</v>
      </c>
      <c r="W13">
        <v>0.8</v>
      </c>
      <c r="X13" t="s">
        <v>18</v>
      </c>
      <c r="Y13" t="s">
        <v>19</v>
      </c>
      <c r="Z13">
        <v>5.397260273972603</v>
      </c>
      <c r="AA13" t="s">
        <v>28</v>
      </c>
      <c r="AE13" t="s">
        <v>608</v>
      </c>
    </row>
    <row r="14" spans="1:34" x14ac:dyDescent="0.25">
      <c r="O14" t="s">
        <v>225</v>
      </c>
      <c r="P14" t="s">
        <v>226</v>
      </c>
      <c r="Q14" t="s">
        <v>227</v>
      </c>
      <c r="R14" t="s">
        <v>24</v>
      </c>
      <c r="S14" t="s">
        <v>131</v>
      </c>
      <c r="T14" s="33">
        <v>63705.4</v>
      </c>
      <c r="U14" t="s">
        <v>26</v>
      </c>
      <c r="V14">
        <v>43682</v>
      </c>
      <c r="W14">
        <v>1</v>
      </c>
      <c r="X14" t="s">
        <v>18</v>
      </c>
      <c r="Y14" t="s">
        <v>41</v>
      </c>
      <c r="Z14">
        <v>4.882191780821918</v>
      </c>
      <c r="AA14" t="s">
        <v>20</v>
      </c>
    </row>
    <row r="15" spans="1:34" x14ac:dyDescent="0.25">
      <c r="K15" s="71" t="s">
        <v>810</v>
      </c>
      <c r="L15" s="71"/>
      <c r="M15" s="71"/>
      <c r="O15" t="s">
        <v>504</v>
      </c>
      <c r="P15" t="s">
        <v>505</v>
      </c>
      <c r="Q15" t="s">
        <v>506</v>
      </c>
      <c r="R15" t="s">
        <v>24</v>
      </c>
      <c r="S15" t="s">
        <v>101</v>
      </c>
      <c r="T15" s="33">
        <v>114177.23</v>
      </c>
      <c r="U15" t="s">
        <v>17</v>
      </c>
      <c r="V15">
        <v>43908</v>
      </c>
      <c r="W15">
        <v>1</v>
      </c>
      <c r="X15" t="s">
        <v>18</v>
      </c>
      <c r="Y15" t="s">
        <v>45</v>
      </c>
      <c r="Z15">
        <v>4.2630136986301368</v>
      </c>
      <c r="AA15" t="s">
        <v>20</v>
      </c>
    </row>
    <row r="16" spans="1:34" x14ac:dyDescent="0.25">
      <c r="C16" s="69" t="s">
        <v>811</v>
      </c>
      <c r="D16" s="70"/>
      <c r="E16" s="70"/>
      <c r="K16" s="55" t="s">
        <v>1</v>
      </c>
      <c r="L16" s="55" t="str">
        <f>VLOOKUP(D6,O6:AA266,2,FALSE)</f>
        <v>Billi</v>
      </c>
      <c r="M16" s="55" t="str">
        <f>_xlfn.XLOOKUP($D$6,$O$6:$O$266,P6:P266,"Not Found")</f>
        <v>Billi</v>
      </c>
      <c r="O16" t="s">
        <v>596</v>
      </c>
      <c r="P16" t="s">
        <v>597</v>
      </c>
      <c r="Q16" t="s">
        <v>598</v>
      </c>
      <c r="R16" t="s">
        <v>15</v>
      </c>
      <c r="S16" t="s">
        <v>131</v>
      </c>
      <c r="T16" s="33">
        <v>29774.76</v>
      </c>
      <c r="U16" t="s">
        <v>65</v>
      </c>
      <c r="V16">
        <v>44105</v>
      </c>
      <c r="W16">
        <v>1</v>
      </c>
      <c r="X16" t="s">
        <v>18</v>
      </c>
      <c r="Y16" t="s">
        <v>45</v>
      </c>
      <c r="Z16">
        <v>3.7232876712328768</v>
      </c>
      <c r="AA16" t="s">
        <v>20</v>
      </c>
      <c r="AE16" t="str" cm="1">
        <f t="array" ref="AE16:AH16">IFERROR(VLOOKUP(AE13,O6:AA266,{2,3,5,6},FALSE),"Not Found")</f>
        <v>Van</v>
      </c>
      <c r="AF16" t="str">
        <v>Tuxwell</v>
      </c>
      <c r="AG16" t="str">
        <v>Business Growth</v>
      </c>
      <c r="AH16">
        <v>80695.740000000005</v>
      </c>
    </row>
    <row r="17" spans="3:27" x14ac:dyDescent="0.25">
      <c r="K17" s="55" t="s">
        <v>2</v>
      </c>
      <c r="L17" s="55" t="str">
        <f>VLOOKUP(D6,O6:AA266,3,FALSE)</f>
        <v>Fellgate</v>
      </c>
      <c r="M17" s="55" t="str">
        <f>_xlfn.XLOOKUP($D$6,$O$6:$O$266,Q6:Q266)</f>
        <v>Fellgate</v>
      </c>
      <c r="O17" t="s">
        <v>98</v>
      </c>
      <c r="P17" t="s">
        <v>99</v>
      </c>
      <c r="Q17" t="s">
        <v>100</v>
      </c>
      <c r="R17" t="s">
        <v>15</v>
      </c>
      <c r="S17" t="s">
        <v>101</v>
      </c>
      <c r="T17" s="33">
        <v>52963.65</v>
      </c>
      <c r="U17" t="s">
        <v>26</v>
      </c>
      <c r="V17">
        <v>44288</v>
      </c>
      <c r="W17">
        <v>0.3</v>
      </c>
      <c r="X17" t="s">
        <v>18</v>
      </c>
      <c r="Y17" t="s">
        <v>72</v>
      </c>
      <c r="Z17">
        <v>3.2219178082191782</v>
      </c>
      <c r="AA17" t="s">
        <v>28</v>
      </c>
    </row>
    <row r="18" spans="3:27" x14ac:dyDescent="0.25">
      <c r="C18" t="s">
        <v>2</v>
      </c>
      <c r="D18" t="s">
        <v>506</v>
      </c>
      <c r="F18" s="26" t="s">
        <v>816</v>
      </c>
      <c r="K18" s="55" t="s">
        <v>4</v>
      </c>
      <c r="L18" s="55" t="str">
        <f>VLOOKUP(D6,O6:AA266,5,FALSE)</f>
        <v>Business Development</v>
      </c>
      <c r="M18" s="55" t="str">
        <f>_xlfn.XLOOKUP($D$6,$O$6:$O$266,S6:S266)</f>
        <v>Business Development</v>
      </c>
      <c r="O18" t="s">
        <v>94</v>
      </c>
      <c r="P18" t="s">
        <v>95</v>
      </c>
      <c r="Q18" t="s">
        <v>96</v>
      </c>
      <c r="R18" t="s">
        <v>15</v>
      </c>
      <c r="S18" t="s">
        <v>97</v>
      </c>
      <c r="T18" s="33">
        <v>50310.09</v>
      </c>
      <c r="U18" t="s">
        <v>26</v>
      </c>
      <c r="V18">
        <v>44285</v>
      </c>
      <c r="W18">
        <v>0.4</v>
      </c>
      <c r="X18" t="s">
        <v>18</v>
      </c>
      <c r="Y18" t="s">
        <v>41</v>
      </c>
      <c r="Z18">
        <v>3.2301369863013698</v>
      </c>
      <c r="AA18" t="s">
        <v>28</v>
      </c>
    </row>
    <row r="19" spans="3:27" x14ac:dyDescent="0.25">
      <c r="E19" s="26" t="s">
        <v>812</v>
      </c>
      <c r="F19">
        <f>MATCH(D18,staff[Last Name],0)</f>
        <v>13</v>
      </c>
      <c r="K19" s="55" t="s">
        <v>5</v>
      </c>
      <c r="L19" s="48">
        <f>VLOOKUP(D6,O6:AA266,6,FALSE)</f>
        <v>68980.52</v>
      </c>
      <c r="M19" s="48">
        <f>_xlfn.XLOOKUP($D$6,$O$6:$O$266,T6:T266)</f>
        <v>68980.52</v>
      </c>
      <c r="O19" t="s">
        <v>291</v>
      </c>
      <c r="P19" t="s">
        <v>292</v>
      </c>
      <c r="Q19" t="s">
        <v>293</v>
      </c>
      <c r="R19" t="s">
        <v>24</v>
      </c>
      <c r="S19" t="s">
        <v>58</v>
      </c>
      <c r="T19" s="33">
        <v>84309.95</v>
      </c>
      <c r="U19" t="s">
        <v>26</v>
      </c>
      <c r="V19">
        <v>44501</v>
      </c>
      <c r="W19">
        <v>1</v>
      </c>
      <c r="X19" t="s">
        <v>18</v>
      </c>
      <c r="Y19" t="s">
        <v>19</v>
      </c>
      <c r="Z19">
        <v>2.6383561643835618</v>
      </c>
      <c r="AA19" t="s">
        <v>20</v>
      </c>
    </row>
    <row r="20" spans="3:27" x14ac:dyDescent="0.25">
      <c r="C20" t="s">
        <v>0</v>
      </c>
      <c r="D20" s="55" t="str" cm="1">
        <f t="array" ref="D20">INDEX(staff[Emp ID],F$19)</f>
        <v>PR00746</v>
      </c>
      <c r="E20" t="str">
        <f>INDEX(staff[Emp ID],MATCH(D18,staff[Last Name],0))</f>
        <v>PR00746</v>
      </c>
      <c r="F20" t="str">
        <f>_xlfn.XLOOKUP(D$18,staff[Last Name],staff[Emp ID],"Not Found")</f>
        <v>PR00746</v>
      </c>
      <c r="M20" s="33"/>
      <c r="O20" t="s">
        <v>590</v>
      </c>
      <c r="P20" t="s">
        <v>591</v>
      </c>
      <c r="Q20" t="s">
        <v>592</v>
      </c>
      <c r="R20" t="s">
        <v>15</v>
      </c>
      <c r="S20" t="s">
        <v>101</v>
      </c>
      <c r="T20" s="33">
        <v>35936.31</v>
      </c>
      <c r="U20" t="s">
        <v>65</v>
      </c>
      <c r="V20">
        <v>43241</v>
      </c>
      <c r="W20">
        <v>1</v>
      </c>
      <c r="X20" t="s">
        <v>18</v>
      </c>
      <c r="Y20" t="s">
        <v>84</v>
      </c>
      <c r="Z20">
        <v>6.0904109589041093</v>
      </c>
      <c r="AA20" t="s">
        <v>20</v>
      </c>
    </row>
    <row r="21" spans="3:27" x14ac:dyDescent="0.25">
      <c r="C21" t="s">
        <v>4</v>
      </c>
      <c r="D21" s="55" t="str" cm="1">
        <f t="array" ref="D21">INDEX(staff[Department],F19)</f>
        <v>Accounting</v>
      </c>
      <c r="E21" t="str">
        <f>INDEX(staff[Department],MATCH(D18,staff[Last Name],0))</f>
        <v>Accounting</v>
      </c>
      <c r="F21" t="str">
        <f>_xlfn.XLOOKUP(D$18,staff[Last Name],staff[Department],"Not Found")</f>
        <v>Accounting</v>
      </c>
      <c r="O21" t="s">
        <v>276</v>
      </c>
      <c r="P21" t="s">
        <v>277</v>
      </c>
      <c r="Q21" t="s">
        <v>278</v>
      </c>
      <c r="R21" t="s">
        <v>15</v>
      </c>
      <c r="S21" t="s">
        <v>16</v>
      </c>
      <c r="T21" s="33">
        <v>112645.99</v>
      </c>
      <c r="U21" t="s">
        <v>17</v>
      </c>
      <c r="V21">
        <v>43759</v>
      </c>
      <c r="W21">
        <v>0.6</v>
      </c>
      <c r="X21" t="s">
        <v>18</v>
      </c>
      <c r="Y21" t="s">
        <v>27</v>
      </c>
      <c r="Z21">
        <v>4.6712328767123283</v>
      </c>
      <c r="AA21" t="s">
        <v>28</v>
      </c>
    </row>
    <row r="22" spans="3:27" x14ac:dyDescent="0.25">
      <c r="C22" t="s">
        <v>5</v>
      </c>
      <c r="D22" s="48" cm="1">
        <f t="array" ref="D22">INDEX(staff[Salary],F19)</f>
        <v>114177.23</v>
      </c>
      <c r="E22" s="33">
        <f>INDEX(staff[Salary],MATCH(D18,staff[Last Name],0))</f>
        <v>114177.23</v>
      </c>
      <c r="F22">
        <f>_xlfn.XLOOKUP(D$18,staff[Last Name],staff[Salary],"Not Found")</f>
        <v>114177.23</v>
      </c>
      <c r="O22" t="s">
        <v>294</v>
      </c>
      <c r="P22" t="s">
        <v>295</v>
      </c>
      <c r="Q22" t="s">
        <v>296</v>
      </c>
      <c r="R22" t="s">
        <v>15</v>
      </c>
      <c r="S22" t="s">
        <v>101</v>
      </c>
      <c r="T22" s="33">
        <v>91645.04</v>
      </c>
      <c r="U22" t="s">
        <v>26</v>
      </c>
      <c r="V22">
        <v>44223</v>
      </c>
      <c r="W22">
        <v>1</v>
      </c>
      <c r="X22" t="s">
        <v>18</v>
      </c>
      <c r="Y22" t="s">
        <v>77</v>
      </c>
      <c r="Z22">
        <v>3.4</v>
      </c>
      <c r="AA22" t="s">
        <v>20</v>
      </c>
    </row>
    <row r="23" spans="3:27" x14ac:dyDescent="0.25">
      <c r="C23" t="s">
        <v>813</v>
      </c>
      <c r="D23" s="55"/>
      <c r="E23" t="str">
        <f>INDEX(staff[First Name],MATCH(D18,staff[Last Name],0))</f>
        <v>Hogan</v>
      </c>
      <c r="F23" t="str">
        <f>_xlfn.XLOOKUP(D$18,staff[Last Name],staff[First Name],"Not Found")</f>
        <v>Hogan</v>
      </c>
      <c r="J23" s="69" t="s">
        <v>811</v>
      </c>
      <c r="K23" s="70"/>
      <c r="L23" s="70"/>
      <c r="O23" t="s">
        <v>548</v>
      </c>
      <c r="P23" t="s">
        <v>549</v>
      </c>
      <c r="Q23" t="s">
        <v>550</v>
      </c>
      <c r="R23" t="s">
        <v>24</v>
      </c>
      <c r="S23" t="s">
        <v>16</v>
      </c>
      <c r="T23" s="33">
        <v>97105.19</v>
      </c>
      <c r="U23" t="s">
        <v>26</v>
      </c>
      <c r="V23">
        <v>44425</v>
      </c>
      <c r="W23">
        <v>1</v>
      </c>
      <c r="X23" t="s">
        <v>18</v>
      </c>
      <c r="Y23" t="s">
        <v>72</v>
      </c>
      <c r="Z23">
        <v>2.8465753424657536</v>
      </c>
      <c r="AA23" t="s">
        <v>20</v>
      </c>
    </row>
    <row r="24" spans="3:27" x14ac:dyDescent="0.25">
      <c r="O24" t="s">
        <v>698</v>
      </c>
      <c r="P24" t="s">
        <v>699</v>
      </c>
      <c r="Q24" t="s">
        <v>700</v>
      </c>
      <c r="R24" t="s">
        <v>15</v>
      </c>
      <c r="S24" t="s">
        <v>32</v>
      </c>
      <c r="T24" s="33">
        <v>84742.86</v>
      </c>
      <c r="U24" t="s">
        <v>26</v>
      </c>
      <c r="V24">
        <v>44098</v>
      </c>
      <c r="W24">
        <v>1</v>
      </c>
      <c r="X24" t="s">
        <v>18</v>
      </c>
      <c r="Y24" t="s">
        <v>77</v>
      </c>
      <c r="Z24">
        <v>3.7424657534246575</v>
      </c>
      <c r="AA24" t="s">
        <v>20</v>
      </c>
    </row>
    <row r="25" spans="3:27" x14ac:dyDescent="0.25">
      <c r="J25" t="s">
        <v>1</v>
      </c>
      <c r="K25" s="1" t="s">
        <v>217</v>
      </c>
      <c r="O25" t="s">
        <v>246</v>
      </c>
      <c r="P25" t="s">
        <v>247</v>
      </c>
      <c r="Q25" t="s">
        <v>248</v>
      </c>
      <c r="R25" t="s">
        <v>15</v>
      </c>
      <c r="S25" t="s">
        <v>25</v>
      </c>
      <c r="T25" s="33">
        <v>85918.61</v>
      </c>
      <c r="U25" t="s">
        <v>26</v>
      </c>
      <c r="V25">
        <v>43136</v>
      </c>
      <c r="W25">
        <v>1</v>
      </c>
      <c r="X25" t="s">
        <v>18</v>
      </c>
      <c r="Y25" t="s">
        <v>72</v>
      </c>
      <c r="Z25">
        <v>6.3780821917808215</v>
      </c>
      <c r="AA25" t="s">
        <v>20</v>
      </c>
    </row>
    <row r="26" spans="3:27" x14ac:dyDescent="0.25">
      <c r="L26">
        <f>MATCH(K25,P7:P266,0)</f>
        <v>36</v>
      </c>
      <c r="M26" s="26" t="s">
        <v>816</v>
      </c>
      <c r="O26" t="s">
        <v>609</v>
      </c>
      <c r="P26" t="s">
        <v>610</v>
      </c>
      <c r="Q26" t="s">
        <v>611</v>
      </c>
      <c r="R26" t="s">
        <v>24</v>
      </c>
      <c r="S26" t="s">
        <v>124</v>
      </c>
      <c r="T26" s="33">
        <v>72502.61</v>
      </c>
      <c r="U26" t="s">
        <v>26</v>
      </c>
      <c r="V26">
        <v>44235</v>
      </c>
      <c r="W26">
        <v>1</v>
      </c>
      <c r="X26" t="s">
        <v>18</v>
      </c>
      <c r="Y26" t="s">
        <v>45</v>
      </c>
      <c r="Z26">
        <v>3.3671232876712329</v>
      </c>
      <c r="AA26" t="s">
        <v>20</v>
      </c>
    </row>
    <row r="27" spans="3:27" x14ac:dyDescent="0.25">
      <c r="J27" t="s">
        <v>0</v>
      </c>
      <c r="K27" t="str" cm="1">
        <f t="array" ref="K27">INDEX(O7:O266,L26)</f>
        <v>PR02782</v>
      </c>
      <c r="L27" t="str">
        <f>INDEX(O7:O266,MATCH(K25,P7:P266,0))</f>
        <v>PR02782</v>
      </c>
      <c r="M27" t="str">
        <f>_xlfn.XLOOKUP(K$25,$P$6:$P$266,O6:O266,"Not Found")</f>
        <v>PR02782</v>
      </c>
      <c r="O27" t="s">
        <v>666</v>
      </c>
      <c r="P27" t="s">
        <v>667</v>
      </c>
      <c r="Q27" t="s">
        <v>668</v>
      </c>
      <c r="R27" t="s">
        <v>15</v>
      </c>
      <c r="S27" t="s">
        <v>32</v>
      </c>
      <c r="T27" s="33">
        <v>77096.05</v>
      </c>
      <c r="U27" t="s">
        <v>26</v>
      </c>
      <c r="V27">
        <v>43217</v>
      </c>
      <c r="W27">
        <v>1</v>
      </c>
      <c r="X27" t="s">
        <v>18</v>
      </c>
      <c r="Y27" t="s">
        <v>84</v>
      </c>
      <c r="Z27">
        <v>6.1561643835616442</v>
      </c>
      <c r="AA27" t="s">
        <v>20</v>
      </c>
    </row>
    <row r="28" spans="3:27" x14ac:dyDescent="0.25">
      <c r="J28" t="s">
        <v>4</v>
      </c>
      <c r="K28" t="str" cm="1">
        <f t="array" ref="K28">INDEX(S7:S266,L26)</f>
        <v>Marketing</v>
      </c>
      <c r="L28" t="str">
        <f>INDEX(S7:S266,MATCH(K25,P7:P266,0))</f>
        <v>Marketing</v>
      </c>
      <c r="M28" t="str">
        <f>_xlfn.XLOOKUP(K$25,$P$6:$P$266,S6:S266,"Not Found")</f>
        <v>Marketing</v>
      </c>
      <c r="O28" t="s">
        <v>141</v>
      </c>
      <c r="P28" t="s">
        <v>142</v>
      </c>
      <c r="Q28" t="s">
        <v>143</v>
      </c>
      <c r="R28" t="s">
        <v>24</v>
      </c>
      <c r="S28" t="s">
        <v>58</v>
      </c>
      <c r="T28" s="33">
        <v>50449.46</v>
      </c>
      <c r="U28" t="s">
        <v>26</v>
      </c>
      <c r="V28">
        <v>43418</v>
      </c>
      <c r="W28">
        <v>0.8</v>
      </c>
      <c r="X28" t="s">
        <v>18</v>
      </c>
      <c r="Y28" t="s">
        <v>77</v>
      </c>
      <c r="Z28">
        <v>5.6054794520547944</v>
      </c>
      <c r="AA28" t="s">
        <v>28</v>
      </c>
    </row>
    <row r="29" spans="3:27" x14ac:dyDescent="0.25">
      <c r="J29" t="s">
        <v>5</v>
      </c>
      <c r="K29" s="53" cm="1">
        <f t="array" ref="K29">INDEX(T7:T266,L26)</f>
        <v>37362.300000000003</v>
      </c>
      <c r="L29" s="53">
        <f>INDEX(T7:T266,MATCH(K25,P7:P266,0))</f>
        <v>37362.300000000003</v>
      </c>
      <c r="M29" s="33">
        <f>_xlfn.XLOOKUP(K$25,$P$6:$P$266,T6:T266,"Not Found")</f>
        <v>37362.300000000003</v>
      </c>
      <c r="O29" t="s">
        <v>672</v>
      </c>
      <c r="P29" t="s">
        <v>673</v>
      </c>
      <c r="Q29" t="s">
        <v>674</v>
      </c>
      <c r="R29" t="s">
        <v>15</v>
      </c>
      <c r="S29" t="s">
        <v>97</v>
      </c>
      <c r="T29" s="33">
        <v>48525.71</v>
      </c>
      <c r="U29" t="s">
        <v>65</v>
      </c>
      <c r="V29">
        <v>43264</v>
      </c>
      <c r="W29">
        <v>1</v>
      </c>
      <c r="X29" t="s">
        <v>18</v>
      </c>
      <c r="Y29" t="s">
        <v>41</v>
      </c>
      <c r="Z29">
        <v>6.0273972602739727</v>
      </c>
      <c r="AA29" t="s">
        <v>20</v>
      </c>
    </row>
    <row r="30" spans="3:27" x14ac:dyDescent="0.25">
      <c r="O30" t="s">
        <v>389</v>
      </c>
      <c r="P30" t="s">
        <v>390</v>
      </c>
      <c r="Q30" t="s">
        <v>391</v>
      </c>
      <c r="R30" t="s">
        <v>15</v>
      </c>
      <c r="S30" t="s">
        <v>101</v>
      </c>
      <c r="T30" s="33">
        <v>36547.58</v>
      </c>
      <c r="U30" t="s">
        <v>65</v>
      </c>
      <c r="V30">
        <v>43416</v>
      </c>
      <c r="W30">
        <v>1</v>
      </c>
      <c r="X30" t="s">
        <v>18</v>
      </c>
      <c r="Y30" t="s">
        <v>19</v>
      </c>
      <c r="Z30">
        <v>5.6109589041095891</v>
      </c>
      <c r="AA30" t="s">
        <v>20</v>
      </c>
    </row>
    <row r="31" spans="3:27" x14ac:dyDescent="0.25">
      <c r="O31" t="s">
        <v>389</v>
      </c>
      <c r="P31" t="s">
        <v>390</v>
      </c>
      <c r="Q31" t="s">
        <v>391</v>
      </c>
      <c r="R31" t="s">
        <v>15</v>
      </c>
      <c r="S31" t="s">
        <v>101</v>
      </c>
      <c r="T31" s="33">
        <v>36547.58</v>
      </c>
      <c r="U31" t="s">
        <v>65</v>
      </c>
      <c r="V31">
        <v>43416</v>
      </c>
      <c r="W31">
        <v>1</v>
      </c>
      <c r="X31" t="s">
        <v>18</v>
      </c>
      <c r="Y31" t="s">
        <v>19</v>
      </c>
      <c r="Z31">
        <v>5.6109589041095891</v>
      </c>
      <c r="AA31" t="s">
        <v>20</v>
      </c>
    </row>
    <row r="32" spans="3:27" x14ac:dyDescent="0.25">
      <c r="O32" t="s">
        <v>336</v>
      </c>
      <c r="P32" t="s">
        <v>337</v>
      </c>
      <c r="Q32" t="s">
        <v>338</v>
      </c>
      <c r="R32" t="s">
        <v>15</v>
      </c>
      <c r="S32" t="s">
        <v>124</v>
      </c>
      <c r="T32" s="33">
        <v>115191.38</v>
      </c>
      <c r="U32" t="s">
        <v>17</v>
      </c>
      <c r="V32">
        <v>44004</v>
      </c>
      <c r="W32">
        <v>1</v>
      </c>
      <c r="X32" t="s">
        <v>18</v>
      </c>
      <c r="Y32" t="s">
        <v>41</v>
      </c>
      <c r="Z32">
        <v>4</v>
      </c>
      <c r="AA32" t="s">
        <v>20</v>
      </c>
    </row>
    <row r="33" spans="1:27" x14ac:dyDescent="0.25">
      <c r="C33" t="s">
        <v>5</v>
      </c>
      <c r="D33" s="26">
        <v>96135.75</v>
      </c>
      <c r="E33" t="s">
        <v>817</v>
      </c>
      <c r="O33" t="s">
        <v>533</v>
      </c>
      <c r="P33" t="s">
        <v>534</v>
      </c>
      <c r="Q33" t="s">
        <v>535</v>
      </c>
      <c r="R33" t="s">
        <v>24</v>
      </c>
      <c r="S33" t="s">
        <v>16</v>
      </c>
      <c r="T33" s="33">
        <v>58861.19</v>
      </c>
      <c r="U33" t="s">
        <v>26</v>
      </c>
      <c r="V33">
        <v>43654</v>
      </c>
      <c r="W33">
        <v>1</v>
      </c>
      <c r="X33" t="s">
        <v>18</v>
      </c>
      <c r="Y33" t="s">
        <v>72</v>
      </c>
      <c r="Z33">
        <v>4.9589041095890414</v>
      </c>
      <c r="AA33" t="s">
        <v>20</v>
      </c>
    </row>
    <row r="34" spans="1:27" x14ac:dyDescent="0.25">
      <c r="O34" t="s">
        <v>342</v>
      </c>
      <c r="P34" t="s">
        <v>343</v>
      </c>
      <c r="Q34" t="s">
        <v>344</v>
      </c>
      <c r="R34" t="s">
        <v>24</v>
      </c>
      <c r="S34" t="s">
        <v>50</v>
      </c>
      <c r="T34" s="33">
        <v>75974.990000000005</v>
      </c>
      <c r="U34" t="s">
        <v>26</v>
      </c>
      <c r="V34">
        <v>44172</v>
      </c>
      <c r="W34">
        <v>1</v>
      </c>
      <c r="X34" t="s">
        <v>18</v>
      </c>
      <c r="Y34" t="s">
        <v>19</v>
      </c>
      <c r="Z34">
        <v>3.5397260273972604</v>
      </c>
      <c r="AA34" t="s">
        <v>20</v>
      </c>
    </row>
    <row r="35" spans="1:27" x14ac:dyDescent="0.25">
      <c r="A35" t="str" cm="1">
        <f t="array" ref="A35:M35">staff[#Headers]</f>
        <v>Emp ID</v>
      </c>
      <c r="B35" t="str">
        <v>First Name</v>
      </c>
      <c r="C35" t="str">
        <v>Last Name</v>
      </c>
      <c r="D35" t="str">
        <v>Gender</v>
      </c>
      <c r="E35" t="str">
        <v>Department</v>
      </c>
      <c r="F35" t="str">
        <v>Salary</v>
      </c>
      <c r="G35" t="str">
        <v>Salary Bucket</v>
      </c>
      <c r="H35" t="str">
        <v>Start Date</v>
      </c>
      <c r="I35" t="str">
        <v>FTE</v>
      </c>
      <c r="J35" t="str">
        <v>Employee type</v>
      </c>
      <c r="K35" t="str">
        <v>Work location</v>
      </c>
      <c r="L35" t="str">
        <v>Tenure</v>
      </c>
      <c r="M35" t="str">
        <v>Work Type</v>
      </c>
      <c r="O35" t="s">
        <v>392</v>
      </c>
      <c r="P35" t="s">
        <v>393</v>
      </c>
      <c r="Q35" t="s">
        <v>394</v>
      </c>
      <c r="R35" t="s">
        <v>15</v>
      </c>
      <c r="S35" t="s">
        <v>101</v>
      </c>
      <c r="T35" s="33">
        <v>95954.02</v>
      </c>
      <c r="U35" t="s">
        <v>26</v>
      </c>
      <c r="V35">
        <v>43567</v>
      </c>
      <c r="W35">
        <v>0.3</v>
      </c>
      <c r="X35" t="s">
        <v>18</v>
      </c>
      <c r="Y35" t="s">
        <v>41</v>
      </c>
      <c r="Z35">
        <v>5.1972602739726028</v>
      </c>
      <c r="AA35" t="s">
        <v>28</v>
      </c>
    </row>
    <row r="36" spans="1:27" x14ac:dyDescent="0.25">
      <c r="A36" t="str" cm="1">
        <f t="array" ref="A36:M36">_xlfn.XLOOKUP(D$33,staff[Salary],staff[],"Not Found",0,1)</f>
        <v>PR00007</v>
      </c>
      <c r="B36" t="str">
        <v>Torrance</v>
      </c>
      <c r="C36" t="str">
        <v>Collier</v>
      </c>
      <c r="D36" t="str">
        <v>Female</v>
      </c>
      <c r="E36" t="str">
        <v>Training</v>
      </c>
      <c r="F36">
        <v>96135.75</v>
      </c>
      <c r="G36" t="str">
        <v>50k to 100k</v>
      </c>
      <c r="H36">
        <v>44025</v>
      </c>
      <c r="I36">
        <v>0.3</v>
      </c>
      <c r="J36" t="str">
        <v>Permanent</v>
      </c>
      <c r="K36" t="str">
        <v>Wellington, New Zealand</v>
      </c>
      <c r="L36">
        <v>3.9424657534246577</v>
      </c>
      <c r="M36" t="str">
        <v>Part time</v>
      </c>
      <c r="O36" t="s">
        <v>189</v>
      </c>
      <c r="P36" t="s">
        <v>190</v>
      </c>
      <c r="Q36" t="s">
        <v>191</v>
      </c>
      <c r="R36" t="s">
        <v>24</v>
      </c>
      <c r="S36" t="s">
        <v>36</v>
      </c>
      <c r="T36" s="33">
        <v>102934.09</v>
      </c>
      <c r="U36" t="s">
        <v>17</v>
      </c>
      <c r="V36">
        <v>44315</v>
      </c>
      <c r="W36">
        <v>1</v>
      </c>
      <c r="X36" t="s">
        <v>18</v>
      </c>
      <c r="Y36" t="s">
        <v>41</v>
      </c>
      <c r="Z36">
        <v>3.1479452054794521</v>
      </c>
      <c r="AA36" t="s">
        <v>20</v>
      </c>
    </row>
    <row r="37" spans="1:27" x14ac:dyDescent="0.25">
      <c r="O37" t="s">
        <v>575</v>
      </c>
      <c r="P37" t="s">
        <v>319</v>
      </c>
      <c r="Q37" t="s">
        <v>320</v>
      </c>
      <c r="R37" t="s">
        <v>24</v>
      </c>
      <c r="S37" t="s">
        <v>105</v>
      </c>
      <c r="T37" s="33">
        <v>41934.71</v>
      </c>
      <c r="U37" t="s">
        <v>65</v>
      </c>
      <c r="V37">
        <v>43780</v>
      </c>
      <c r="W37">
        <v>1</v>
      </c>
      <c r="X37" t="s">
        <v>18</v>
      </c>
      <c r="Y37" t="s">
        <v>19</v>
      </c>
      <c r="Z37">
        <v>4.6136986301369864</v>
      </c>
      <c r="AA37" t="s">
        <v>20</v>
      </c>
    </row>
    <row r="38" spans="1:27" x14ac:dyDescent="0.25">
      <c r="A38" t="s">
        <v>818</v>
      </c>
      <c r="O38" t="s">
        <v>121</v>
      </c>
      <c r="P38" t="s">
        <v>122</v>
      </c>
      <c r="Q38" t="s">
        <v>123</v>
      </c>
      <c r="R38" t="s">
        <v>15</v>
      </c>
      <c r="S38" t="s">
        <v>124</v>
      </c>
      <c r="T38" s="33">
        <v>104335.03999999999</v>
      </c>
      <c r="U38" t="s">
        <v>17</v>
      </c>
      <c r="V38">
        <v>43874</v>
      </c>
      <c r="W38">
        <v>1</v>
      </c>
      <c r="X38" t="s">
        <v>18</v>
      </c>
      <c r="Y38" t="s">
        <v>72</v>
      </c>
      <c r="Z38">
        <v>4.3561643835616435</v>
      </c>
      <c r="AA38" t="s">
        <v>20</v>
      </c>
    </row>
    <row r="39" spans="1:27" x14ac:dyDescent="0.25">
      <c r="A39" t="str" cm="1">
        <f t="array" ref="A39:M39">IFERROR(_xlfn._xlws.FILTER(staff[],staff[Salary] = D33),"Not Found")</f>
        <v>PR00007</v>
      </c>
      <c r="B39" t="str">
        <v>Torrance</v>
      </c>
      <c r="C39" t="str">
        <v>Collier</v>
      </c>
      <c r="D39" t="str">
        <v>Female</v>
      </c>
      <c r="E39" t="str">
        <v>Training</v>
      </c>
      <c r="F39">
        <v>96135.75</v>
      </c>
      <c r="G39" t="str">
        <v>50k to 100k</v>
      </c>
      <c r="H39">
        <v>44025</v>
      </c>
      <c r="I39">
        <v>0.3</v>
      </c>
      <c r="J39" t="str">
        <v>Permanent</v>
      </c>
      <c r="K39" t="str">
        <v>Wellington, New Zealand</v>
      </c>
      <c r="L39">
        <v>3.9424657534246577</v>
      </c>
      <c r="M39" t="str">
        <v>Part time</v>
      </c>
      <c r="O39" t="s">
        <v>445</v>
      </c>
      <c r="P39" t="s">
        <v>446</v>
      </c>
      <c r="Q39" t="s">
        <v>447</v>
      </c>
      <c r="R39" t="s">
        <v>24</v>
      </c>
      <c r="S39" t="s">
        <v>32</v>
      </c>
      <c r="T39" s="33">
        <v>81897.789999999994</v>
      </c>
      <c r="U39" t="s">
        <v>26</v>
      </c>
      <c r="V39">
        <v>43146</v>
      </c>
      <c r="W39">
        <v>1</v>
      </c>
      <c r="X39" t="s">
        <v>18</v>
      </c>
      <c r="Y39" t="s">
        <v>77</v>
      </c>
      <c r="Z39">
        <v>6.3506849315068497</v>
      </c>
      <c r="AA39" t="s">
        <v>20</v>
      </c>
    </row>
    <row r="40" spans="1:27" x14ac:dyDescent="0.25">
      <c r="O40" t="s">
        <v>707</v>
      </c>
      <c r="P40" t="s">
        <v>708</v>
      </c>
      <c r="Q40" t="s">
        <v>709</v>
      </c>
      <c r="R40" t="s">
        <v>24</v>
      </c>
      <c r="S40" t="s">
        <v>16</v>
      </c>
      <c r="T40" s="33">
        <v>78378.2</v>
      </c>
      <c r="U40" t="s">
        <v>26</v>
      </c>
      <c r="V40">
        <v>43465</v>
      </c>
      <c r="W40">
        <v>0.4</v>
      </c>
      <c r="X40" t="s">
        <v>18</v>
      </c>
      <c r="Y40" t="s">
        <v>19</v>
      </c>
      <c r="Z40">
        <v>5.4767123287671229</v>
      </c>
      <c r="AA40" t="s">
        <v>28</v>
      </c>
    </row>
    <row r="41" spans="1:27" x14ac:dyDescent="0.25">
      <c r="O41" t="s">
        <v>115</v>
      </c>
      <c r="P41" t="s">
        <v>116</v>
      </c>
      <c r="Q41" t="s">
        <v>117</v>
      </c>
      <c r="R41" t="s">
        <v>24</v>
      </c>
      <c r="S41" t="s">
        <v>97</v>
      </c>
      <c r="T41" s="33">
        <v>61994.76</v>
      </c>
      <c r="U41" t="s">
        <v>26</v>
      </c>
      <c r="V41">
        <v>43794</v>
      </c>
      <c r="W41">
        <v>0.3</v>
      </c>
      <c r="X41" t="s">
        <v>18</v>
      </c>
      <c r="Y41" t="s">
        <v>41</v>
      </c>
      <c r="Z41">
        <v>4.5753424657534243</v>
      </c>
      <c r="AA41" t="s">
        <v>28</v>
      </c>
    </row>
    <row r="42" spans="1:27" x14ac:dyDescent="0.25">
      <c r="O42" t="s">
        <v>216</v>
      </c>
      <c r="P42" t="s">
        <v>217</v>
      </c>
      <c r="Q42" t="s">
        <v>218</v>
      </c>
      <c r="R42" t="s">
        <v>15</v>
      </c>
      <c r="S42" t="s">
        <v>54</v>
      </c>
      <c r="T42" s="33">
        <v>37362.300000000003</v>
      </c>
      <c r="U42" t="s">
        <v>65</v>
      </c>
      <c r="V42">
        <v>43642</v>
      </c>
      <c r="W42">
        <v>1</v>
      </c>
      <c r="X42" t="s">
        <v>18</v>
      </c>
      <c r="Y42" t="s">
        <v>77</v>
      </c>
      <c r="Z42">
        <v>4.9917808219178079</v>
      </c>
      <c r="AA42" t="s">
        <v>20</v>
      </c>
    </row>
    <row r="43" spans="1:27" x14ac:dyDescent="0.25">
      <c r="O43" t="s">
        <v>560</v>
      </c>
      <c r="P43" t="s">
        <v>561</v>
      </c>
      <c r="Q43" t="s">
        <v>562</v>
      </c>
      <c r="R43" t="s">
        <v>24</v>
      </c>
      <c r="S43" t="s">
        <v>36</v>
      </c>
      <c r="T43" s="33">
        <v>84745.93</v>
      </c>
      <c r="U43" t="s">
        <v>26</v>
      </c>
      <c r="V43">
        <v>43707</v>
      </c>
      <c r="W43">
        <v>1</v>
      </c>
      <c r="X43" t="s">
        <v>18</v>
      </c>
      <c r="Y43" t="s">
        <v>45</v>
      </c>
      <c r="Z43">
        <v>4.8136986301369866</v>
      </c>
      <c r="AA43" t="s">
        <v>20</v>
      </c>
    </row>
    <row r="44" spans="1:27" x14ac:dyDescent="0.25">
      <c r="O44" t="s">
        <v>273</v>
      </c>
      <c r="P44" t="s">
        <v>274</v>
      </c>
      <c r="Q44" t="s">
        <v>275</v>
      </c>
      <c r="R44" t="s">
        <v>15</v>
      </c>
      <c r="S44" t="s">
        <v>105</v>
      </c>
      <c r="T44" s="33">
        <v>32192.15</v>
      </c>
      <c r="U44" t="s">
        <v>65</v>
      </c>
      <c r="V44">
        <v>44473</v>
      </c>
      <c r="W44">
        <v>1</v>
      </c>
      <c r="X44" t="s">
        <v>18</v>
      </c>
      <c r="Y44" t="s">
        <v>41</v>
      </c>
      <c r="Z44">
        <v>2.7150684931506848</v>
      </c>
      <c r="AA44" t="s">
        <v>20</v>
      </c>
    </row>
    <row r="45" spans="1:27" x14ac:dyDescent="0.25">
      <c r="O45" t="s">
        <v>642</v>
      </c>
      <c r="P45" t="s">
        <v>643</v>
      </c>
      <c r="Q45" t="s">
        <v>644</v>
      </c>
      <c r="R45" t="s">
        <v>15</v>
      </c>
      <c r="S45" t="s">
        <v>50</v>
      </c>
      <c r="T45" s="33">
        <v>36714.379999999997</v>
      </c>
      <c r="U45" t="s">
        <v>65</v>
      </c>
      <c r="V45">
        <v>44175</v>
      </c>
      <c r="W45">
        <v>1</v>
      </c>
      <c r="X45" t="s">
        <v>18</v>
      </c>
      <c r="Y45" t="s">
        <v>84</v>
      </c>
      <c r="Z45">
        <v>3.5315068493150683</v>
      </c>
      <c r="AA45" t="s">
        <v>20</v>
      </c>
    </row>
    <row r="46" spans="1:27" x14ac:dyDescent="0.25">
      <c r="O46" t="s">
        <v>118</v>
      </c>
      <c r="P46" t="s">
        <v>119</v>
      </c>
      <c r="Q46" t="s">
        <v>120</v>
      </c>
      <c r="R46" t="s">
        <v>24</v>
      </c>
      <c r="S46" t="s">
        <v>32</v>
      </c>
      <c r="T46" s="33">
        <v>89690.38</v>
      </c>
      <c r="U46" t="s">
        <v>26</v>
      </c>
      <c r="V46">
        <v>43206</v>
      </c>
      <c r="W46">
        <v>1</v>
      </c>
      <c r="X46" t="s">
        <v>18</v>
      </c>
      <c r="Y46" t="s">
        <v>45</v>
      </c>
      <c r="Z46">
        <v>6.1863013698630134</v>
      </c>
      <c r="AA46" t="s">
        <v>20</v>
      </c>
    </row>
    <row r="47" spans="1:27" x14ac:dyDescent="0.25">
      <c r="O47" t="s">
        <v>469</v>
      </c>
      <c r="P47" t="s">
        <v>470</v>
      </c>
      <c r="Q47" t="s">
        <v>471</v>
      </c>
      <c r="R47" t="s">
        <v>24</v>
      </c>
      <c r="S47" t="s">
        <v>105</v>
      </c>
      <c r="T47" s="33">
        <v>39535.49</v>
      </c>
      <c r="U47" t="s">
        <v>65</v>
      </c>
      <c r="V47">
        <v>43397</v>
      </c>
      <c r="W47">
        <v>0.3</v>
      </c>
      <c r="X47" t="s">
        <v>18</v>
      </c>
      <c r="Y47" t="s">
        <v>19</v>
      </c>
      <c r="Z47">
        <v>5.6630136986301371</v>
      </c>
      <c r="AA47" t="s">
        <v>28</v>
      </c>
    </row>
    <row r="48" spans="1:27" x14ac:dyDescent="0.25">
      <c r="O48" t="s">
        <v>102</v>
      </c>
      <c r="P48" t="s">
        <v>103</v>
      </c>
      <c r="Q48" t="s">
        <v>104</v>
      </c>
      <c r="R48" t="s">
        <v>15</v>
      </c>
      <c r="S48" t="s">
        <v>105</v>
      </c>
      <c r="T48" s="33">
        <v>62195.47</v>
      </c>
      <c r="U48" t="s">
        <v>26</v>
      </c>
      <c r="V48">
        <v>44434</v>
      </c>
      <c r="W48">
        <v>1</v>
      </c>
      <c r="X48" t="s">
        <v>18</v>
      </c>
      <c r="Y48" t="s">
        <v>19</v>
      </c>
      <c r="Z48">
        <v>2.8219178082191783</v>
      </c>
      <c r="AA48" t="s">
        <v>20</v>
      </c>
    </row>
    <row r="49" spans="15:27" x14ac:dyDescent="0.25">
      <c r="O49" t="s">
        <v>721</v>
      </c>
      <c r="P49" t="s">
        <v>220</v>
      </c>
      <c r="Q49" t="s">
        <v>221</v>
      </c>
      <c r="R49" t="s">
        <v>15</v>
      </c>
      <c r="S49" t="s">
        <v>97</v>
      </c>
      <c r="T49" s="33">
        <v>72876.91</v>
      </c>
      <c r="U49" t="s">
        <v>26</v>
      </c>
      <c r="V49">
        <v>43837</v>
      </c>
      <c r="W49">
        <v>1</v>
      </c>
      <c r="X49" t="s">
        <v>18</v>
      </c>
      <c r="Y49" t="s">
        <v>19</v>
      </c>
      <c r="Z49">
        <v>4.4575342465753423</v>
      </c>
      <c r="AA49" t="s">
        <v>20</v>
      </c>
    </row>
    <row r="50" spans="15:27" x14ac:dyDescent="0.25">
      <c r="O50" t="s">
        <v>321</v>
      </c>
      <c r="P50" t="s">
        <v>322</v>
      </c>
      <c r="Q50" t="s">
        <v>323</v>
      </c>
      <c r="R50" t="s">
        <v>15</v>
      </c>
      <c r="S50" t="s">
        <v>131</v>
      </c>
      <c r="T50" s="33">
        <v>66572.58</v>
      </c>
      <c r="U50" t="s">
        <v>26</v>
      </c>
      <c r="V50">
        <v>44193</v>
      </c>
      <c r="W50">
        <v>1</v>
      </c>
      <c r="X50" t="s">
        <v>18</v>
      </c>
      <c r="Y50" t="s">
        <v>84</v>
      </c>
      <c r="Z50">
        <v>3.4821917808219176</v>
      </c>
      <c r="AA50" t="s">
        <v>20</v>
      </c>
    </row>
    <row r="51" spans="15:27" x14ac:dyDescent="0.25">
      <c r="O51" t="s">
        <v>321</v>
      </c>
      <c r="P51" t="s">
        <v>713</v>
      </c>
      <c r="Q51" t="s">
        <v>714</v>
      </c>
      <c r="R51" t="s">
        <v>15</v>
      </c>
      <c r="S51" t="s">
        <v>131</v>
      </c>
      <c r="T51" s="33">
        <v>66572.58</v>
      </c>
      <c r="U51" t="s">
        <v>26</v>
      </c>
      <c r="V51">
        <v>44193</v>
      </c>
      <c r="W51">
        <v>1</v>
      </c>
      <c r="X51" t="s">
        <v>18</v>
      </c>
      <c r="Y51" t="s">
        <v>84</v>
      </c>
      <c r="Z51">
        <v>3.4821917808219176</v>
      </c>
      <c r="AA51" t="s">
        <v>20</v>
      </c>
    </row>
    <row r="52" spans="15:27" x14ac:dyDescent="0.25">
      <c r="O52" t="s">
        <v>198</v>
      </c>
      <c r="P52" t="s">
        <v>199</v>
      </c>
      <c r="Q52" t="s">
        <v>200</v>
      </c>
      <c r="R52" t="s">
        <v>24</v>
      </c>
      <c r="S52" t="s">
        <v>97</v>
      </c>
      <c r="T52" s="33">
        <v>35943.620000000003</v>
      </c>
      <c r="U52" t="s">
        <v>65</v>
      </c>
      <c r="V52">
        <v>44078</v>
      </c>
      <c r="W52">
        <v>1</v>
      </c>
      <c r="X52" t="s">
        <v>18</v>
      </c>
      <c r="Y52" t="s">
        <v>72</v>
      </c>
      <c r="Z52">
        <v>3.7972602739726029</v>
      </c>
      <c r="AA52" t="s">
        <v>20</v>
      </c>
    </row>
    <row r="53" spans="15:27" x14ac:dyDescent="0.25">
      <c r="O53" t="s">
        <v>501</v>
      </c>
      <c r="P53" t="s">
        <v>502</v>
      </c>
      <c r="Q53" t="s">
        <v>503</v>
      </c>
      <c r="R53" t="s">
        <v>15</v>
      </c>
      <c r="S53" t="s">
        <v>101</v>
      </c>
      <c r="T53" s="33">
        <v>119022.49</v>
      </c>
      <c r="U53" t="s">
        <v>17</v>
      </c>
      <c r="V53">
        <v>44431</v>
      </c>
      <c r="W53">
        <v>1</v>
      </c>
      <c r="X53" t="s">
        <v>18</v>
      </c>
      <c r="Y53" t="s">
        <v>77</v>
      </c>
      <c r="Z53">
        <v>2.8301369863013699</v>
      </c>
      <c r="AA53" t="s">
        <v>20</v>
      </c>
    </row>
    <row r="54" spans="15:27" x14ac:dyDescent="0.25">
      <c r="O54" t="s">
        <v>258</v>
      </c>
      <c r="P54" t="s">
        <v>259</v>
      </c>
      <c r="Q54" t="s">
        <v>260</v>
      </c>
      <c r="R54" t="s">
        <v>15</v>
      </c>
      <c r="S54" t="s">
        <v>54</v>
      </c>
      <c r="T54" s="33">
        <v>65699.02</v>
      </c>
      <c r="U54" t="s">
        <v>26</v>
      </c>
      <c r="V54">
        <v>43951</v>
      </c>
      <c r="W54">
        <v>1</v>
      </c>
      <c r="X54" t="s">
        <v>18</v>
      </c>
      <c r="Y54" t="s">
        <v>72</v>
      </c>
      <c r="Z54">
        <v>4.1452054794520548</v>
      </c>
      <c r="AA54" t="s">
        <v>20</v>
      </c>
    </row>
    <row r="55" spans="15:27" x14ac:dyDescent="0.25">
      <c r="O55" t="s">
        <v>728</v>
      </c>
      <c r="P55" t="s">
        <v>729</v>
      </c>
      <c r="Q55" t="s">
        <v>730</v>
      </c>
      <c r="R55" t="s">
        <v>24</v>
      </c>
      <c r="S55" t="s">
        <v>105</v>
      </c>
      <c r="T55" s="33">
        <v>47551.89</v>
      </c>
      <c r="U55" t="s">
        <v>65</v>
      </c>
      <c r="V55">
        <v>43468</v>
      </c>
      <c r="W55">
        <v>1</v>
      </c>
      <c r="X55" t="s">
        <v>18</v>
      </c>
      <c r="Y55" t="s">
        <v>77</v>
      </c>
      <c r="Z55">
        <v>5.4684931506849317</v>
      </c>
      <c r="AA55" t="s">
        <v>20</v>
      </c>
    </row>
    <row r="56" spans="15:27" x14ac:dyDescent="0.25">
      <c r="O56" t="s">
        <v>282</v>
      </c>
      <c r="P56" t="s">
        <v>283</v>
      </c>
      <c r="Q56" t="s">
        <v>284</v>
      </c>
      <c r="R56" t="s">
        <v>24</v>
      </c>
      <c r="S56" t="s">
        <v>25</v>
      </c>
      <c r="T56" s="33">
        <v>80695.740000000005</v>
      </c>
      <c r="U56" t="s">
        <v>26</v>
      </c>
      <c r="V56">
        <v>43787</v>
      </c>
      <c r="W56">
        <v>0.8</v>
      </c>
      <c r="X56" t="s">
        <v>18</v>
      </c>
      <c r="Y56" t="s">
        <v>72</v>
      </c>
      <c r="Z56">
        <v>4.5945205479452058</v>
      </c>
      <c r="AA56" t="s">
        <v>28</v>
      </c>
    </row>
    <row r="57" spans="15:27" x14ac:dyDescent="0.25">
      <c r="O57" t="s">
        <v>413</v>
      </c>
      <c r="P57" t="s">
        <v>414</v>
      </c>
      <c r="Q57" t="s">
        <v>415</v>
      </c>
      <c r="R57" t="s">
        <v>24</v>
      </c>
      <c r="S57" t="s">
        <v>58</v>
      </c>
      <c r="T57" s="33">
        <v>92336.08</v>
      </c>
      <c r="U57" t="s">
        <v>26</v>
      </c>
      <c r="V57">
        <v>44431</v>
      </c>
      <c r="W57">
        <v>1</v>
      </c>
      <c r="X57" t="s">
        <v>18</v>
      </c>
      <c r="Y57" t="s">
        <v>41</v>
      </c>
      <c r="Z57">
        <v>2.8301369863013699</v>
      </c>
      <c r="AA57" t="s">
        <v>20</v>
      </c>
    </row>
    <row r="58" spans="15:27" x14ac:dyDescent="0.25">
      <c r="O58" t="s">
        <v>69</v>
      </c>
      <c r="P58" t="s">
        <v>70</v>
      </c>
      <c r="Q58" t="s">
        <v>71</v>
      </c>
      <c r="R58" t="s">
        <v>24</v>
      </c>
      <c r="S58" t="s">
        <v>25</v>
      </c>
      <c r="T58" s="33">
        <v>69192.850000000006</v>
      </c>
      <c r="U58" t="s">
        <v>26</v>
      </c>
      <c r="V58">
        <v>44305</v>
      </c>
      <c r="W58">
        <v>1</v>
      </c>
      <c r="X58" t="s">
        <v>18</v>
      </c>
      <c r="Y58" t="s">
        <v>72</v>
      </c>
      <c r="Z58">
        <v>3.1753424657534248</v>
      </c>
      <c r="AA58" t="s">
        <v>20</v>
      </c>
    </row>
    <row r="59" spans="15:27" x14ac:dyDescent="0.25">
      <c r="O59" t="s">
        <v>46</v>
      </c>
      <c r="P59" t="s">
        <v>47</v>
      </c>
      <c r="Q59" t="s">
        <v>48</v>
      </c>
      <c r="R59" t="s">
        <v>49</v>
      </c>
      <c r="S59" t="s">
        <v>50</v>
      </c>
      <c r="T59" s="33">
        <v>104802.63</v>
      </c>
      <c r="U59" t="s">
        <v>17</v>
      </c>
      <c r="V59">
        <v>44502</v>
      </c>
      <c r="W59">
        <v>1</v>
      </c>
      <c r="X59" t="s">
        <v>18</v>
      </c>
      <c r="Y59" t="s">
        <v>41</v>
      </c>
      <c r="Z59">
        <v>2.6356164383561644</v>
      </c>
      <c r="AA59" t="s">
        <v>20</v>
      </c>
    </row>
    <row r="60" spans="15:27" x14ac:dyDescent="0.25">
      <c r="O60" t="s">
        <v>21</v>
      </c>
      <c r="P60" t="s">
        <v>22</v>
      </c>
      <c r="Q60" t="s">
        <v>23</v>
      </c>
      <c r="R60" t="s">
        <v>24</v>
      </c>
      <c r="S60" t="s">
        <v>25</v>
      </c>
      <c r="T60" s="33">
        <v>98000</v>
      </c>
      <c r="U60" t="s">
        <v>26</v>
      </c>
      <c r="V60">
        <v>43710</v>
      </c>
      <c r="W60">
        <v>0.9</v>
      </c>
      <c r="X60" t="s">
        <v>18</v>
      </c>
      <c r="Y60" t="s">
        <v>27</v>
      </c>
      <c r="Z60">
        <v>4.8054794520547945</v>
      </c>
      <c r="AA60" t="s">
        <v>28</v>
      </c>
    </row>
    <row r="61" spans="15:27" x14ac:dyDescent="0.25">
      <c r="O61" t="s">
        <v>624</v>
      </c>
      <c r="P61" t="s">
        <v>625</v>
      </c>
      <c r="Q61" t="s">
        <v>626</v>
      </c>
      <c r="R61" t="s">
        <v>24</v>
      </c>
      <c r="S61" t="s">
        <v>105</v>
      </c>
      <c r="T61" s="33">
        <v>77045.440000000002</v>
      </c>
      <c r="U61" t="s">
        <v>26</v>
      </c>
      <c r="V61">
        <v>43636</v>
      </c>
      <c r="W61">
        <v>1</v>
      </c>
      <c r="X61" t="s">
        <v>18</v>
      </c>
      <c r="Y61" t="s">
        <v>19</v>
      </c>
      <c r="Z61">
        <v>5.0082191780821921</v>
      </c>
      <c r="AA61" t="s">
        <v>20</v>
      </c>
    </row>
    <row r="62" spans="15:27" x14ac:dyDescent="0.25">
      <c r="O62" t="s">
        <v>434</v>
      </c>
      <c r="P62" t="s">
        <v>435</v>
      </c>
      <c r="Q62" t="s">
        <v>436</v>
      </c>
      <c r="R62" t="s">
        <v>15</v>
      </c>
      <c r="S62" t="s">
        <v>25</v>
      </c>
      <c r="T62" s="33">
        <v>110042.37</v>
      </c>
      <c r="U62" t="s">
        <v>17</v>
      </c>
      <c r="V62">
        <v>43914</v>
      </c>
      <c r="W62">
        <v>1</v>
      </c>
      <c r="X62" t="s">
        <v>18</v>
      </c>
      <c r="Y62" t="s">
        <v>72</v>
      </c>
      <c r="Z62">
        <v>4.2465753424657535</v>
      </c>
      <c r="AA62" t="s">
        <v>20</v>
      </c>
    </row>
    <row r="63" spans="15:27" x14ac:dyDescent="0.25">
      <c r="O63" t="s">
        <v>578</v>
      </c>
      <c r="P63" t="s">
        <v>579</v>
      </c>
      <c r="Q63" t="s">
        <v>580</v>
      </c>
      <c r="R63" t="s">
        <v>15</v>
      </c>
      <c r="S63" t="s">
        <v>58</v>
      </c>
      <c r="T63" s="33">
        <v>62281.24</v>
      </c>
      <c r="U63" t="s">
        <v>26</v>
      </c>
      <c r="V63">
        <v>43272</v>
      </c>
      <c r="W63">
        <v>1</v>
      </c>
      <c r="X63" t="s">
        <v>18</v>
      </c>
      <c r="Y63" t="s">
        <v>19</v>
      </c>
      <c r="Z63">
        <v>6.0054794520547947</v>
      </c>
      <c r="AA63" t="s">
        <v>20</v>
      </c>
    </row>
    <row r="64" spans="15:27" x14ac:dyDescent="0.25">
      <c r="O64" t="s">
        <v>510</v>
      </c>
      <c r="P64" t="s">
        <v>511</v>
      </c>
      <c r="Q64" t="s">
        <v>512</v>
      </c>
      <c r="R64" t="s">
        <v>24</v>
      </c>
      <c r="S64" t="s">
        <v>36</v>
      </c>
      <c r="T64" s="33">
        <v>86010.54</v>
      </c>
      <c r="U64" t="s">
        <v>26</v>
      </c>
      <c r="V64">
        <v>43164</v>
      </c>
      <c r="W64">
        <v>1</v>
      </c>
      <c r="X64" t="s">
        <v>18</v>
      </c>
      <c r="Y64" t="s">
        <v>84</v>
      </c>
      <c r="Z64">
        <v>6.3013698630136989</v>
      </c>
      <c r="AA64" t="s">
        <v>20</v>
      </c>
    </row>
    <row r="65" spans="15:27" x14ac:dyDescent="0.25">
      <c r="O65" t="s">
        <v>42</v>
      </c>
      <c r="P65" t="s">
        <v>43</v>
      </c>
      <c r="Q65" t="s">
        <v>44</v>
      </c>
      <c r="R65" t="s">
        <v>15</v>
      </c>
      <c r="S65" t="s">
        <v>16</v>
      </c>
      <c r="T65" s="33">
        <v>118976.16</v>
      </c>
      <c r="U65" t="s">
        <v>17</v>
      </c>
      <c r="V65">
        <v>44120</v>
      </c>
      <c r="W65">
        <v>1</v>
      </c>
      <c r="X65" t="s">
        <v>18</v>
      </c>
      <c r="Y65" t="s">
        <v>45</v>
      </c>
      <c r="Z65">
        <v>3.6821917808219178</v>
      </c>
      <c r="AA65" t="s">
        <v>20</v>
      </c>
    </row>
    <row r="66" spans="15:27" x14ac:dyDescent="0.25">
      <c r="O66" t="s">
        <v>605</v>
      </c>
      <c r="P66" t="s">
        <v>606</v>
      </c>
      <c r="Q66" t="s">
        <v>607</v>
      </c>
      <c r="R66" t="s">
        <v>24</v>
      </c>
      <c r="S66" t="s">
        <v>32</v>
      </c>
      <c r="T66" s="33">
        <v>71229.42</v>
      </c>
      <c r="U66" t="s">
        <v>26</v>
      </c>
      <c r="V66">
        <v>44166</v>
      </c>
      <c r="W66">
        <v>1</v>
      </c>
      <c r="X66" t="s">
        <v>18</v>
      </c>
      <c r="Y66" t="s">
        <v>41</v>
      </c>
      <c r="Z66">
        <v>3.5561643835616437</v>
      </c>
      <c r="AA66" t="s">
        <v>20</v>
      </c>
    </row>
    <row r="67" spans="15:27" x14ac:dyDescent="0.25">
      <c r="O67" t="s">
        <v>657</v>
      </c>
      <c r="P67" t="s">
        <v>658</v>
      </c>
      <c r="Q67" t="s">
        <v>659</v>
      </c>
      <c r="R67" t="s">
        <v>24</v>
      </c>
      <c r="S67" t="s">
        <v>131</v>
      </c>
      <c r="T67" s="33">
        <v>61213.01</v>
      </c>
      <c r="U67" t="s">
        <v>26</v>
      </c>
      <c r="V67">
        <v>44365</v>
      </c>
      <c r="W67">
        <v>1</v>
      </c>
      <c r="X67" t="s">
        <v>18</v>
      </c>
      <c r="Y67" t="s">
        <v>84</v>
      </c>
      <c r="Z67">
        <v>3.010958904109589</v>
      </c>
      <c r="AA67" t="s">
        <v>20</v>
      </c>
    </row>
    <row r="68" spans="15:27" x14ac:dyDescent="0.25">
      <c r="O68" t="s">
        <v>186</v>
      </c>
      <c r="P68" t="s">
        <v>187</v>
      </c>
      <c r="Q68" t="s">
        <v>188</v>
      </c>
      <c r="R68" t="s">
        <v>15</v>
      </c>
      <c r="S68" t="s">
        <v>54</v>
      </c>
      <c r="T68" s="33">
        <v>40753.54</v>
      </c>
      <c r="U68" t="s">
        <v>65</v>
      </c>
      <c r="V68">
        <v>43152</v>
      </c>
      <c r="W68">
        <v>0.6</v>
      </c>
      <c r="X68" t="s">
        <v>18</v>
      </c>
      <c r="Y68" t="s">
        <v>45</v>
      </c>
      <c r="Z68">
        <v>6.3342465753424655</v>
      </c>
      <c r="AA68" t="s">
        <v>28</v>
      </c>
    </row>
    <row r="69" spans="15:27" x14ac:dyDescent="0.25">
      <c r="O69" t="s">
        <v>318</v>
      </c>
      <c r="P69" t="s">
        <v>319</v>
      </c>
      <c r="Q69" t="s">
        <v>320</v>
      </c>
      <c r="R69" t="s">
        <v>24</v>
      </c>
      <c r="S69" t="s">
        <v>105</v>
      </c>
      <c r="T69" s="33">
        <v>41934.71</v>
      </c>
      <c r="U69" t="s">
        <v>65</v>
      </c>
      <c r="V69">
        <v>43943</v>
      </c>
      <c r="W69">
        <v>1</v>
      </c>
      <c r="X69" t="s">
        <v>18</v>
      </c>
      <c r="Y69" t="s">
        <v>19</v>
      </c>
      <c r="Z69">
        <v>4.1671232876712327</v>
      </c>
      <c r="AA69" t="s">
        <v>20</v>
      </c>
    </row>
    <row r="70" spans="15:27" x14ac:dyDescent="0.25">
      <c r="O70" t="s">
        <v>339</v>
      </c>
      <c r="P70" t="s">
        <v>340</v>
      </c>
      <c r="Q70" t="s">
        <v>341</v>
      </c>
      <c r="R70" t="s">
        <v>24</v>
      </c>
      <c r="S70" t="s">
        <v>131</v>
      </c>
      <c r="T70" s="33">
        <v>111049.84</v>
      </c>
      <c r="U70" t="s">
        <v>17</v>
      </c>
      <c r="V70">
        <v>44393</v>
      </c>
      <c r="W70">
        <v>1</v>
      </c>
      <c r="X70" t="s">
        <v>18</v>
      </c>
      <c r="Y70" t="s">
        <v>45</v>
      </c>
      <c r="Z70">
        <v>2.9342465753424656</v>
      </c>
      <c r="AA70" t="s">
        <v>20</v>
      </c>
    </row>
    <row r="71" spans="15:27" x14ac:dyDescent="0.25">
      <c r="O71" t="s">
        <v>55</v>
      </c>
      <c r="P71" t="s">
        <v>56</v>
      </c>
      <c r="Q71" t="s">
        <v>57</v>
      </c>
      <c r="R71" t="s">
        <v>15</v>
      </c>
      <c r="S71" t="s">
        <v>58</v>
      </c>
      <c r="T71" s="33">
        <v>74279.009999999995</v>
      </c>
      <c r="U71" t="s">
        <v>26</v>
      </c>
      <c r="V71">
        <v>43466</v>
      </c>
      <c r="W71">
        <v>1</v>
      </c>
      <c r="X71" t="s">
        <v>18</v>
      </c>
      <c r="Y71" t="s">
        <v>45</v>
      </c>
      <c r="Z71">
        <v>5.4739726027397264</v>
      </c>
      <c r="AA71" t="s">
        <v>20</v>
      </c>
    </row>
    <row r="72" spans="15:27" x14ac:dyDescent="0.25">
      <c r="O72" t="s">
        <v>78</v>
      </c>
      <c r="P72" t="s">
        <v>79</v>
      </c>
      <c r="Q72" t="s">
        <v>80</v>
      </c>
      <c r="R72" t="s">
        <v>15</v>
      </c>
      <c r="S72" t="s">
        <v>50</v>
      </c>
      <c r="T72" s="33">
        <v>54137.05</v>
      </c>
      <c r="U72" t="s">
        <v>26</v>
      </c>
      <c r="V72">
        <v>43763</v>
      </c>
      <c r="W72">
        <v>1</v>
      </c>
      <c r="X72" t="s">
        <v>18</v>
      </c>
      <c r="Y72" t="s">
        <v>19</v>
      </c>
      <c r="Z72">
        <v>4.6602739726027398</v>
      </c>
      <c r="AA72" t="s">
        <v>20</v>
      </c>
    </row>
    <row r="73" spans="15:27" x14ac:dyDescent="0.25">
      <c r="O73" t="s">
        <v>365</v>
      </c>
      <c r="P73" t="s">
        <v>366</v>
      </c>
      <c r="Q73" t="s">
        <v>367</v>
      </c>
      <c r="R73" t="s">
        <v>24</v>
      </c>
      <c r="S73" t="s">
        <v>32</v>
      </c>
      <c r="T73" s="33">
        <v>89690.38</v>
      </c>
      <c r="U73" t="s">
        <v>26</v>
      </c>
      <c r="V73">
        <v>43213</v>
      </c>
      <c r="W73">
        <v>1</v>
      </c>
      <c r="X73" t="s">
        <v>18</v>
      </c>
      <c r="Y73" t="s">
        <v>41</v>
      </c>
      <c r="Z73">
        <v>6.1671232876712327</v>
      </c>
      <c r="AA73" t="s">
        <v>20</v>
      </c>
    </row>
    <row r="74" spans="15:27" x14ac:dyDescent="0.25">
      <c r="O74" t="s">
        <v>210</v>
      </c>
      <c r="P74" t="s">
        <v>211</v>
      </c>
      <c r="Q74" t="s">
        <v>212</v>
      </c>
      <c r="R74" t="s">
        <v>24</v>
      </c>
      <c r="S74" t="s">
        <v>124</v>
      </c>
      <c r="T74" s="33">
        <v>38438.239999999998</v>
      </c>
      <c r="U74" t="s">
        <v>65</v>
      </c>
      <c r="V74">
        <v>43962</v>
      </c>
      <c r="W74">
        <v>1</v>
      </c>
      <c r="X74" t="s">
        <v>18</v>
      </c>
      <c r="Y74" t="s">
        <v>84</v>
      </c>
      <c r="Z74">
        <v>4.1150684931506847</v>
      </c>
      <c r="AA74" t="s">
        <v>20</v>
      </c>
    </row>
    <row r="75" spans="15:27" x14ac:dyDescent="0.25">
      <c r="O75" t="s">
        <v>210</v>
      </c>
      <c r="P75" t="s">
        <v>490</v>
      </c>
      <c r="Q75" t="s">
        <v>491</v>
      </c>
      <c r="R75" t="s">
        <v>24</v>
      </c>
      <c r="S75" t="s">
        <v>124</v>
      </c>
      <c r="T75" s="33">
        <v>38438.239999999998</v>
      </c>
      <c r="U75" t="s">
        <v>65</v>
      </c>
      <c r="V75">
        <v>43962</v>
      </c>
      <c r="W75">
        <v>1</v>
      </c>
      <c r="X75" t="s">
        <v>18</v>
      </c>
      <c r="Y75" t="s">
        <v>84</v>
      </c>
      <c r="Z75">
        <v>4.1150684931506847</v>
      </c>
      <c r="AA75" t="s">
        <v>20</v>
      </c>
    </row>
    <row r="76" spans="15:27" x14ac:dyDescent="0.25">
      <c r="O76" t="s">
        <v>407</v>
      </c>
      <c r="P76" t="s">
        <v>408</v>
      </c>
      <c r="Q76" t="s">
        <v>409</v>
      </c>
      <c r="R76" t="s">
        <v>24</v>
      </c>
      <c r="S76" t="s">
        <v>58</v>
      </c>
      <c r="T76" s="33">
        <v>44447.26</v>
      </c>
      <c r="U76" t="s">
        <v>65</v>
      </c>
      <c r="V76">
        <v>43846</v>
      </c>
      <c r="W76">
        <v>0.4</v>
      </c>
      <c r="X76" t="s">
        <v>18</v>
      </c>
      <c r="Y76" t="s">
        <v>27</v>
      </c>
      <c r="Z76">
        <v>4.4328767123287669</v>
      </c>
      <c r="AA76" t="s">
        <v>28</v>
      </c>
    </row>
    <row r="77" spans="15:27" x14ac:dyDescent="0.25">
      <c r="O77" t="s">
        <v>419</v>
      </c>
      <c r="P77" t="s">
        <v>420</v>
      </c>
      <c r="Q77" t="s">
        <v>421</v>
      </c>
      <c r="R77" t="s">
        <v>15</v>
      </c>
      <c r="S77" t="s">
        <v>124</v>
      </c>
      <c r="T77" s="33">
        <v>74924.649999999994</v>
      </c>
      <c r="U77" t="s">
        <v>26</v>
      </c>
      <c r="V77">
        <v>44239</v>
      </c>
      <c r="W77">
        <v>1</v>
      </c>
      <c r="X77" t="s">
        <v>18</v>
      </c>
      <c r="Y77" t="s">
        <v>41</v>
      </c>
      <c r="Z77">
        <v>3.3561643835616439</v>
      </c>
      <c r="AA77" t="s">
        <v>20</v>
      </c>
    </row>
    <row r="78" spans="15:27" x14ac:dyDescent="0.25">
      <c r="O78" t="s">
        <v>162</v>
      </c>
      <c r="P78" t="s">
        <v>163</v>
      </c>
      <c r="Q78" t="s">
        <v>164</v>
      </c>
      <c r="R78" t="s">
        <v>15</v>
      </c>
      <c r="S78" t="s">
        <v>97</v>
      </c>
      <c r="T78" s="33">
        <v>86556.96</v>
      </c>
      <c r="U78" t="s">
        <v>26</v>
      </c>
      <c r="V78">
        <v>44104</v>
      </c>
      <c r="W78">
        <v>1</v>
      </c>
      <c r="X78" t="s">
        <v>18</v>
      </c>
      <c r="Y78" t="s">
        <v>41</v>
      </c>
      <c r="Z78">
        <v>3.7260273972602738</v>
      </c>
      <c r="AA78" t="s">
        <v>20</v>
      </c>
    </row>
    <row r="79" spans="15:27" x14ac:dyDescent="0.25">
      <c r="O79" t="s">
        <v>416</v>
      </c>
      <c r="P79" t="s">
        <v>417</v>
      </c>
      <c r="Q79" t="s">
        <v>418</v>
      </c>
      <c r="R79" t="s">
        <v>24</v>
      </c>
      <c r="S79" t="s">
        <v>54</v>
      </c>
      <c r="T79" s="33">
        <v>68008.55</v>
      </c>
      <c r="U79" t="s">
        <v>26</v>
      </c>
      <c r="V79">
        <v>44062</v>
      </c>
      <c r="W79">
        <v>1</v>
      </c>
      <c r="X79" t="s">
        <v>18</v>
      </c>
      <c r="Y79" t="s">
        <v>77</v>
      </c>
      <c r="Z79">
        <v>3.8410958904109589</v>
      </c>
      <c r="AA79" t="s">
        <v>20</v>
      </c>
    </row>
    <row r="80" spans="15:27" x14ac:dyDescent="0.25">
      <c r="O80" t="s">
        <v>128</v>
      </c>
      <c r="P80" t="s">
        <v>129</v>
      </c>
      <c r="Q80" t="s">
        <v>130</v>
      </c>
      <c r="R80" t="s">
        <v>15</v>
      </c>
      <c r="S80" t="s">
        <v>131</v>
      </c>
      <c r="T80" s="33">
        <v>90697.67</v>
      </c>
      <c r="U80" t="s">
        <v>26</v>
      </c>
      <c r="V80">
        <v>44221</v>
      </c>
      <c r="W80">
        <v>0.8</v>
      </c>
      <c r="X80" t="s">
        <v>18</v>
      </c>
      <c r="Y80" t="s">
        <v>27</v>
      </c>
      <c r="Z80">
        <v>3.4054794520547946</v>
      </c>
      <c r="AA80" t="s">
        <v>28</v>
      </c>
    </row>
    <row r="81" spans="15:27" x14ac:dyDescent="0.25">
      <c r="O81" t="s">
        <v>183</v>
      </c>
      <c r="P81" t="s">
        <v>184</v>
      </c>
      <c r="Q81" t="s">
        <v>185</v>
      </c>
      <c r="R81" t="s">
        <v>24</v>
      </c>
      <c r="S81" t="s">
        <v>16</v>
      </c>
      <c r="T81" s="33">
        <v>44403.77</v>
      </c>
      <c r="U81" t="s">
        <v>65</v>
      </c>
      <c r="V81">
        <v>43416</v>
      </c>
      <c r="W81">
        <v>1</v>
      </c>
      <c r="X81" t="s">
        <v>18</v>
      </c>
      <c r="Y81" t="s">
        <v>41</v>
      </c>
      <c r="Z81">
        <v>5.6109589041095891</v>
      </c>
      <c r="AA81" t="s">
        <v>20</v>
      </c>
    </row>
    <row r="82" spans="15:27" x14ac:dyDescent="0.25">
      <c r="O82" t="s">
        <v>351</v>
      </c>
      <c r="P82" t="s">
        <v>352</v>
      </c>
      <c r="Q82" t="s">
        <v>353</v>
      </c>
      <c r="R82" t="s">
        <v>15</v>
      </c>
      <c r="S82" t="s">
        <v>101</v>
      </c>
      <c r="T82" s="33">
        <v>49915.14</v>
      </c>
      <c r="U82" t="s">
        <v>65</v>
      </c>
      <c r="V82">
        <v>43550</v>
      </c>
      <c r="W82">
        <v>1</v>
      </c>
      <c r="X82" t="s">
        <v>18</v>
      </c>
      <c r="Y82" t="s">
        <v>19</v>
      </c>
      <c r="Z82">
        <v>5.2438356164383562</v>
      </c>
      <c r="AA82" t="s">
        <v>20</v>
      </c>
    </row>
    <row r="83" spans="15:27" x14ac:dyDescent="0.25">
      <c r="O83" t="s">
        <v>147</v>
      </c>
      <c r="P83" t="s">
        <v>148</v>
      </c>
      <c r="Q83" t="s">
        <v>149</v>
      </c>
      <c r="R83" t="s">
        <v>15</v>
      </c>
      <c r="S83" t="s">
        <v>131</v>
      </c>
      <c r="T83" s="33">
        <v>113616.23</v>
      </c>
      <c r="U83" t="s">
        <v>17</v>
      </c>
      <c r="V83">
        <v>43255</v>
      </c>
      <c r="W83">
        <v>1</v>
      </c>
      <c r="X83" t="s">
        <v>18</v>
      </c>
      <c r="Y83" t="s">
        <v>19</v>
      </c>
      <c r="Z83">
        <v>6.0520547945205481</v>
      </c>
      <c r="AA83" t="s">
        <v>20</v>
      </c>
    </row>
    <row r="84" spans="15:27" x14ac:dyDescent="0.25">
      <c r="O84" t="s">
        <v>192</v>
      </c>
      <c r="P84" t="s">
        <v>193</v>
      </c>
      <c r="Q84" t="s">
        <v>194</v>
      </c>
      <c r="R84" t="s">
        <v>15</v>
      </c>
      <c r="S84" t="s">
        <v>105</v>
      </c>
      <c r="T84" s="33">
        <v>68860.399999999994</v>
      </c>
      <c r="U84" t="s">
        <v>26</v>
      </c>
      <c r="V84">
        <v>43508</v>
      </c>
      <c r="W84">
        <v>0.4</v>
      </c>
      <c r="X84" t="s">
        <v>18</v>
      </c>
      <c r="Y84" t="s">
        <v>72</v>
      </c>
      <c r="Z84">
        <v>5.3589041095890408</v>
      </c>
      <c r="AA84" t="s">
        <v>28</v>
      </c>
    </row>
    <row r="85" spans="15:27" x14ac:dyDescent="0.25">
      <c r="O85" t="s">
        <v>348</v>
      </c>
      <c r="P85" t="s">
        <v>349</v>
      </c>
      <c r="Q85" t="s">
        <v>350</v>
      </c>
      <c r="R85" t="s">
        <v>15</v>
      </c>
      <c r="S85" t="s">
        <v>25</v>
      </c>
      <c r="T85" s="33">
        <v>71371.37</v>
      </c>
      <c r="U85" t="s">
        <v>26</v>
      </c>
      <c r="V85">
        <v>43392</v>
      </c>
      <c r="W85">
        <v>1</v>
      </c>
      <c r="X85" t="s">
        <v>18</v>
      </c>
      <c r="Y85" t="s">
        <v>41</v>
      </c>
      <c r="Z85">
        <v>5.6767123287671231</v>
      </c>
      <c r="AA85" t="s">
        <v>20</v>
      </c>
    </row>
    <row r="86" spans="15:27" x14ac:dyDescent="0.25">
      <c r="O86" t="s">
        <v>566</v>
      </c>
      <c r="P86" t="s">
        <v>567</v>
      </c>
      <c r="Q86" t="s">
        <v>568</v>
      </c>
      <c r="R86" t="s">
        <v>24</v>
      </c>
      <c r="S86" t="s">
        <v>32</v>
      </c>
      <c r="T86" s="33">
        <v>32269.91</v>
      </c>
      <c r="U86" t="s">
        <v>65</v>
      </c>
      <c r="V86">
        <v>43346</v>
      </c>
      <c r="W86">
        <v>1</v>
      </c>
      <c r="X86" t="s">
        <v>18</v>
      </c>
      <c r="Y86" t="s">
        <v>19</v>
      </c>
      <c r="Z86">
        <v>5.8027397260273972</v>
      </c>
      <c r="AA86" t="s">
        <v>20</v>
      </c>
    </row>
    <row r="87" spans="15:27" x14ac:dyDescent="0.25">
      <c r="O87" t="s">
        <v>431</v>
      </c>
      <c r="P87" t="s">
        <v>432</v>
      </c>
      <c r="Q87" t="s">
        <v>433</v>
      </c>
      <c r="R87" t="s">
        <v>15</v>
      </c>
      <c r="S87" t="s">
        <v>124</v>
      </c>
      <c r="T87" s="33">
        <v>31241.24</v>
      </c>
      <c r="U87" t="s">
        <v>65</v>
      </c>
      <c r="V87">
        <v>43725</v>
      </c>
      <c r="W87">
        <v>1</v>
      </c>
      <c r="X87" t="s">
        <v>18</v>
      </c>
      <c r="Y87" t="s">
        <v>19</v>
      </c>
      <c r="Z87">
        <v>4.7643835616438359</v>
      </c>
      <c r="AA87" t="s">
        <v>20</v>
      </c>
    </row>
    <row r="88" spans="15:27" x14ac:dyDescent="0.25">
      <c r="O88" t="s">
        <v>51</v>
      </c>
      <c r="P88" t="s">
        <v>52</v>
      </c>
      <c r="Q88" t="s">
        <v>53</v>
      </c>
      <c r="R88" t="s">
        <v>24</v>
      </c>
      <c r="S88" t="s">
        <v>54</v>
      </c>
      <c r="T88" s="33">
        <v>66017.179999999993</v>
      </c>
      <c r="U88" t="s">
        <v>26</v>
      </c>
      <c r="V88">
        <v>43643</v>
      </c>
      <c r="W88">
        <v>0.9</v>
      </c>
      <c r="X88" t="s">
        <v>18</v>
      </c>
      <c r="Y88" t="s">
        <v>19</v>
      </c>
      <c r="Z88">
        <v>4.9890410958904106</v>
      </c>
      <c r="AA88" t="s">
        <v>28</v>
      </c>
    </row>
    <row r="89" spans="15:27" x14ac:dyDescent="0.25">
      <c r="O89" t="s">
        <v>410</v>
      </c>
      <c r="P89" t="s">
        <v>411</v>
      </c>
      <c r="Q89" t="s">
        <v>412</v>
      </c>
      <c r="R89" t="s">
        <v>15</v>
      </c>
      <c r="S89" t="s">
        <v>124</v>
      </c>
      <c r="T89" s="33">
        <v>40445.29</v>
      </c>
      <c r="U89" t="s">
        <v>65</v>
      </c>
      <c r="V89">
        <v>44393</v>
      </c>
      <c r="W89">
        <v>1</v>
      </c>
      <c r="X89" t="s">
        <v>18</v>
      </c>
      <c r="Y89" t="s">
        <v>84</v>
      </c>
      <c r="Z89">
        <v>2.9342465753424656</v>
      </c>
      <c r="AA89" t="s">
        <v>20</v>
      </c>
    </row>
    <row r="90" spans="15:27" x14ac:dyDescent="0.25">
      <c r="O90" t="s">
        <v>410</v>
      </c>
      <c r="P90" t="s">
        <v>680</v>
      </c>
      <c r="Q90" t="s">
        <v>681</v>
      </c>
      <c r="R90" t="s">
        <v>15</v>
      </c>
      <c r="S90" t="s">
        <v>124</v>
      </c>
      <c r="T90" s="33">
        <v>40445.29</v>
      </c>
      <c r="U90" t="s">
        <v>65</v>
      </c>
      <c r="V90">
        <v>44393</v>
      </c>
      <c r="W90">
        <v>1</v>
      </c>
      <c r="X90" t="s">
        <v>18</v>
      </c>
      <c r="Y90" t="s">
        <v>84</v>
      </c>
      <c r="Z90">
        <v>2.9342465753424656</v>
      </c>
      <c r="AA90" t="s">
        <v>20</v>
      </c>
    </row>
    <row r="91" spans="15:27" x14ac:dyDescent="0.25">
      <c r="O91" t="s">
        <v>654</v>
      </c>
      <c r="P91" t="s">
        <v>655</v>
      </c>
      <c r="Q91" t="s">
        <v>656</v>
      </c>
      <c r="R91" t="s">
        <v>15</v>
      </c>
      <c r="S91" t="s">
        <v>97</v>
      </c>
      <c r="T91" s="33">
        <v>103494.94</v>
      </c>
      <c r="U91" t="s">
        <v>17</v>
      </c>
      <c r="V91">
        <v>43256</v>
      </c>
      <c r="W91">
        <v>1</v>
      </c>
      <c r="X91" t="s">
        <v>18</v>
      </c>
      <c r="Y91" t="s">
        <v>19</v>
      </c>
      <c r="Z91">
        <v>6.0493150684931507</v>
      </c>
      <c r="AA91" t="s">
        <v>20</v>
      </c>
    </row>
    <row r="92" spans="15:27" x14ac:dyDescent="0.25">
      <c r="O92" t="s">
        <v>654</v>
      </c>
      <c r="P92" t="s">
        <v>655</v>
      </c>
      <c r="Q92" t="s">
        <v>656</v>
      </c>
      <c r="R92" t="s">
        <v>15</v>
      </c>
      <c r="S92" t="s">
        <v>97</v>
      </c>
      <c r="T92" s="33">
        <v>103494.94</v>
      </c>
      <c r="U92" t="s">
        <v>17</v>
      </c>
      <c r="V92">
        <v>43256</v>
      </c>
      <c r="W92">
        <v>1</v>
      </c>
      <c r="X92" t="s">
        <v>18</v>
      </c>
      <c r="Y92" t="s">
        <v>19</v>
      </c>
      <c r="Z92">
        <v>6.0493150684931507</v>
      </c>
      <c r="AA92" t="s">
        <v>20</v>
      </c>
    </row>
    <row r="93" spans="15:27" x14ac:dyDescent="0.25">
      <c r="O93" t="s">
        <v>557</v>
      </c>
      <c r="P93" t="s">
        <v>558</v>
      </c>
      <c r="Q93" t="s">
        <v>559</v>
      </c>
      <c r="R93" t="s">
        <v>24</v>
      </c>
      <c r="S93" t="s">
        <v>16</v>
      </c>
      <c r="T93" s="33">
        <v>118442.54</v>
      </c>
      <c r="U93" t="s">
        <v>17</v>
      </c>
      <c r="V93">
        <v>44193</v>
      </c>
      <c r="W93">
        <v>1</v>
      </c>
      <c r="X93" t="s">
        <v>18</v>
      </c>
      <c r="Y93" t="s">
        <v>77</v>
      </c>
      <c r="Z93">
        <v>3.4821917808219176</v>
      </c>
      <c r="AA93" t="s">
        <v>20</v>
      </c>
    </row>
    <row r="94" spans="15:27" x14ac:dyDescent="0.25">
      <c r="O94" t="s">
        <v>333</v>
      </c>
      <c r="P94" t="s">
        <v>334</v>
      </c>
      <c r="Q94" t="s">
        <v>335</v>
      </c>
      <c r="R94" t="s">
        <v>24</v>
      </c>
      <c r="S94" t="s">
        <v>101</v>
      </c>
      <c r="T94" s="33">
        <v>44845.33</v>
      </c>
      <c r="U94" t="s">
        <v>65</v>
      </c>
      <c r="V94">
        <v>43277</v>
      </c>
      <c r="W94">
        <v>1</v>
      </c>
      <c r="X94" t="s">
        <v>18</v>
      </c>
      <c r="Y94" t="s">
        <v>27</v>
      </c>
      <c r="Z94">
        <v>5.9917808219178079</v>
      </c>
      <c r="AA94" t="s">
        <v>20</v>
      </c>
    </row>
    <row r="95" spans="15:27" x14ac:dyDescent="0.25">
      <c r="O95" t="s">
        <v>204</v>
      </c>
      <c r="P95" t="s">
        <v>205</v>
      </c>
      <c r="Q95" t="s">
        <v>206</v>
      </c>
      <c r="R95" t="s">
        <v>15</v>
      </c>
      <c r="S95" t="s">
        <v>58</v>
      </c>
      <c r="T95" s="33">
        <v>85455.53</v>
      </c>
      <c r="U95" t="s">
        <v>26</v>
      </c>
      <c r="V95">
        <v>43839</v>
      </c>
      <c r="W95">
        <v>1</v>
      </c>
      <c r="X95" t="s">
        <v>18</v>
      </c>
      <c r="Y95" t="s">
        <v>45</v>
      </c>
      <c r="Z95">
        <v>4.4520547945205475</v>
      </c>
      <c r="AA95" t="s">
        <v>20</v>
      </c>
    </row>
    <row r="96" spans="15:27" x14ac:dyDescent="0.25">
      <c r="O96" t="s">
        <v>648</v>
      </c>
      <c r="P96" t="s">
        <v>649</v>
      </c>
      <c r="Q96" t="s">
        <v>650</v>
      </c>
      <c r="R96" t="s">
        <v>15</v>
      </c>
      <c r="S96" t="s">
        <v>97</v>
      </c>
      <c r="T96" s="33">
        <v>69862.38</v>
      </c>
      <c r="U96" t="s">
        <v>26</v>
      </c>
      <c r="V96">
        <v>43458</v>
      </c>
      <c r="W96">
        <v>1</v>
      </c>
      <c r="X96" t="s">
        <v>18</v>
      </c>
      <c r="Y96" t="s">
        <v>45</v>
      </c>
      <c r="Z96">
        <v>5.4958904109589044</v>
      </c>
      <c r="AA96" t="s">
        <v>20</v>
      </c>
    </row>
    <row r="97" spans="15:27" x14ac:dyDescent="0.25">
      <c r="O97" t="s">
        <v>513</v>
      </c>
      <c r="P97" t="s">
        <v>514</v>
      </c>
      <c r="Q97" t="s">
        <v>515</v>
      </c>
      <c r="R97" t="s">
        <v>15</v>
      </c>
      <c r="S97" t="s">
        <v>101</v>
      </c>
      <c r="T97" s="33">
        <v>52270.22</v>
      </c>
      <c r="U97" t="s">
        <v>26</v>
      </c>
      <c r="V97">
        <v>43521</v>
      </c>
      <c r="W97">
        <v>0.3</v>
      </c>
      <c r="X97" t="s">
        <v>18</v>
      </c>
      <c r="Y97" t="s">
        <v>84</v>
      </c>
      <c r="Z97">
        <v>5.3232876712328769</v>
      </c>
      <c r="AA97" t="s">
        <v>28</v>
      </c>
    </row>
    <row r="98" spans="15:27" x14ac:dyDescent="0.25">
      <c r="O98" t="s">
        <v>633</v>
      </c>
      <c r="P98" t="s">
        <v>634</v>
      </c>
      <c r="Q98" t="s">
        <v>635</v>
      </c>
      <c r="R98" t="s">
        <v>24</v>
      </c>
      <c r="S98" t="s">
        <v>36</v>
      </c>
      <c r="T98" s="33">
        <v>99965.97</v>
      </c>
      <c r="U98" t="s">
        <v>26</v>
      </c>
      <c r="V98">
        <v>43133</v>
      </c>
      <c r="W98">
        <v>1</v>
      </c>
      <c r="X98" t="s">
        <v>18</v>
      </c>
      <c r="Y98" t="s">
        <v>19</v>
      </c>
      <c r="Z98">
        <v>6.3863013698630136</v>
      </c>
      <c r="AA98" t="s">
        <v>20</v>
      </c>
    </row>
    <row r="99" spans="15:27" x14ac:dyDescent="0.25">
      <c r="O99" t="s">
        <v>213</v>
      </c>
      <c r="P99" t="s">
        <v>214</v>
      </c>
      <c r="Q99" t="s">
        <v>215</v>
      </c>
      <c r="R99" t="s">
        <v>15</v>
      </c>
      <c r="S99" t="s">
        <v>16</v>
      </c>
      <c r="T99" s="33">
        <v>50855.53</v>
      </c>
      <c r="U99" t="s">
        <v>26</v>
      </c>
      <c r="V99">
        <v>44221</v>
      </c>
      <c r="W99">
        <v>1</v>
      </c>
      <c r="X99" t="s">
        <v>18</v>
      </c>
      <c r="Y99" t="s">
        <v>45</v>
      </c>
      <c r="Z99">
        <v>3.4054794520547946</v>
      </c>
      <c r="AA99" t="s">
        <v>20</v>
      </c>
    </row>
    <row r="100" spans="15:27" x14ac:dyDescent="0.25">
      <c r="O100" t="s">
        <v>132</v>
      </c>
      <c r="P100" t="s">
        <v>133</v>
      </c>
      <c r="Q100" t="s">
        <v>134</v>
      </c>
      <c r="R100" t="s">
        <v>15</v>
      </c>
      <c r="S100" t="s">
        <v>25</v>
      </c>
      <c r="T100" s="33">
        <v>90884.32</v>
      </c>
      <c r="U100" t="s">
        <v>26</v>
      </c>
      <c r="V100">
        <v>43826</v>
      </c>
      <c r="W100">
        <v>1</v>
      </c>
      <c r="X100" t="s">
        <v>18</v>
      </c>
      <c r="Y100" t="s">
        <v>72</v>
      </c>
      <c r="Z100">
        <v>4.4876712328767123</v>
      </c>
      <c r="AA100" t="s">
        <v>20</v>
      </c>
    </row>
    <row r="101" spans="15:27" x14ac:dyDescent="0.25">
      <c r="O101" t="s">
        <v>132</v>
      </c>
      <c r="P101" t="s">
        <v>133</v>
      </c>
      <c r="Q101" t="s">
        <v>134</v>
      </c>
      <c r="R101" t="s">
        <v>15</v>
      </c>
      <c r="S101" t="s">
        <v>25</v>
      </c>
      <c r="T101" s="33">
        <v>90884.32</v>
      </c>
      <c r="U101" t="s">
        <v>26</v>
      </c>
      <c r="V101">
        <v>43826</v>
      </c>
      <c r="W101">
        <v>1</v>
      </c>
      <c r="X101" t="s">
        <v>18</v>
      </c>
      <c r="Y101" t="s">
        <v>72</v>
      </c>
      <c r="Z101">
        <v>4.4876712328767123</v>
      </c>
      <c r="AA101" t="s">
        <v>20</v>
      </c>
    </row>
    <row r="102" spans="15:27" x14ac:dyDescent="0.25">
      <c r="O102" t="s">
        <v>685</v>
      </c>
      <c r="P102" t="s">
        <v>686</v>
      </c>
      <c r="Q102" t="s">
        <v>687</v>
      </c>
      <c r="R102" t="s">
        <v>24</v>
      </c>
      <c r="S102" t="s">
        <v>36</v>
      </c>
      <c r="T102" s="33">
        <v>56253.81</v>
      </c>
      <c r="U102" t="s">
        <v>26</v>
      </c>
      <c r="V102">
        <v>44421</v>
      </c>
      <c r="W102">
        <v>1</v>
      </c>
      <c r="X102" t="s">
        <v>18</v>
      </c>
      <c r="Y102" t="s">
        <v>77</v>
      </c>
      <c r="Z102">
        <v>2.8575342465753426</v>
      </c>
      <c r="AA102" t="s">
        <v>20</v>
      </c>
    </row>
    <row r="103" spans="15:27" x14ac:dyDescent="0.25">
      <c r="O103" t="s">
        <v>688</v>
      </c>
      <c r="P103" t="s">
        <v>689</v>
      </c>
      <c r="Q103" t="s">
        <v>690</v>
      </c>
      <c r="R103" t="s">
        <v>24</v>
      </c>
      <c r="S103" t="s">
        <v>124</v>
      </c>
      <c r="T103" s="33">
        <v>51798.25</v>
      </c>
      <c r="U103" t="s">
        <v>26</v>
      </c>
      <c r="V103">
        <v>43665</v>
      </c>
      <c r="W103">
        <v>1</v>
      </c>
      <c r="X103" t="s">
        <v>18</v>
      </c>
      <c r="Y103" t="s">
        <v>41</v>
      </c>
      <c r="Z103">
        <v>4.9287671232876713</v>
      </c>
      <c r="AA103" t="s">
        <v>20</v>
      </c>
    </row>
    <row r="104" spans="15:27" x14ac:dyDescent="0.25">
      <c r="O104" t="s">
        <v>682</v>
      </c>
      <c r="P104" t="s">
        <v>683</v>
      </c>
      <c r="Q104" t="s">
        <v>684</v>
      </c>
      <c r="R104" t="s">
        <v>24</v>
      </c>
      <c r="S104" t="s">
        <v>16</v>
      </c>
      <c r="T104" s="33">
        <v>114772.32</v>
      </c>
      <c r="U104" t="s">
        <v>17</v>
      </c>
      <c r="V104">
        <v>44251</v>
      </c>
      <c r="W104">
        <v>1</v>
      </c>
      <c r="X104" t="s">
        <v>18</v>
      </c>
      <c r="Y104" t="s">
        <v>72</v>
      </c>
      <c r="Z104">
        <v>3.3232876712328765</v>
      </c>
      <c r="AA104" t="s">
        <v>20</v>
      </c>
    </row>
    <row r="105" spans="15:27" x14ac:dyDescent="0.25">
      <c r="O105" t="s">
        <v>451</v>
      </c>
      <c r="P105" t="s">
        <v>452</v>
      </c>
      <c r="Q105" t="s">
        <v>453</v>
      </c>
      <c r="R105" t="s">
        <v>15</v>
      </c>
      <c r="S105" t="s">
        <v>54</v>
      </c>
      <c r="T105" s="33">
        <v>89605.13</v>
      </c>
      <c r="U105" t="s">
        <v>26</v>
      </c>
      <c r="V105">
        <v>43258</v>
      </c>
      <c r="W105">
        <v>1</v>
      </c>
      <c r="X105" t="s">
        <v>18</v>
      </c>
      <c r="Y105" t="s">
        <v>27</v>
      </c>
      <c r="Z105">
        <v>6.043835616438356</v>
      </c>
      <c r="AA105" t="s">
        <v>20</v>
      </c>
    </row>
    <row r="106" spans="15:27" x14ac:dyDescent="0.25">
      <c r="O106" t="s">
        <v>487</v>
      </c>
      <c r="P106" t="s">
        <v>488</v>
      </c>
      <c r="Q106" t="s">
        <v>489</v>
      </c>
      <c r="R106" t="s">
        <v>24</v>
      </c>
      <c r="S106" t="s">
        <v>16</v>
      </c>
      <c r="T106" s="33">
        <v>88425.08</v>
      </c>
      <c r="U106" t="s">
        <v>26</v>
      </c>
      <c r="V106">
        <v>43662</v>
      </c>
      <c r="W106">
        <v>1</v>
      </c>
      <c r="X106" t="s">
        <v>18</v>
      </c>
      <c r="Y106" t="s">
        <v>41</v>
      </c>
      <c r="Z106">
        <v>4.9369863013698634</v>
      </c>
      <c r="AA106" t="s">
        <v>20</v>
      </c>
    </row>
    <row r="107" spans="15:27" x14ac:dyDescent="0.25">
      <c r="O107" t="s">
        <v>519</v>
      </c>
      <c r="P107" t="s">
        <v>520</v>
      </c>
      <c r="Q107" t="s">
        <v>521</v>
      </c>
      <c r="R107" t="s">
        <v>24</v>
      </c>
      <c r="S107" t="s">
        <v>54</v>
      </c>
      <c r="T107" s="33">
        <v>104903.79</v>
      </c>
      <c r="U107" t="s">
        <v>17</v>
      </c>
      <c r="V107">
        <v>43649</v>
      </c>
      <c r="W107">
        <v>1</v>
      </c>
      <c r="X107" t="s">
        <v>18</v>
      </c>
      <c r="Y107" t="s">
        <v>84</v>
      </c>
      <c r="Z107">
        <v>4.9726027397260273</v>
      </c>
      <c r="AA107" t="s">
        <v>20</v>
      </c>
    </row>
    <row r="108" spans="15:27" x14ac:dyDescent="0.25">
      <c r="O108" t="s">
        <v>234</v>
      </c>
      <c r="P108" t="s">
        <v>235</v>
      </c>
      <c r="Q108" t="s">
        <v>236</v>
      </c>
      <c r="R108" t="s">
        <v>24</v>
      </c>
      <c r="S108" t="s">
        <v>32</v>
      </c>
      <c r="T108" s="33">
        <v>69057.320000000007</v>
      </c>
      <c r="U108" t="s">
        <v>26</v>
      </c>
      <c r="V108">
        <v>43390</v>
      </c>
      <c r="W108">
        <v>1</v>
      </c>
      <c r="X108" t="s">
        <v>18</v>
      </c>
      <c r="Y108" t="s">
        <v>45</v>
      </c>
      <c r="Z108">
        <v>5.6821917808219178</v>
      </c>
      <c r="AA108" t="s">
        <v>20</v>
      </c>
    </row>
    <row r="109" spans="15:27" x14ac:dyDescent="0.25">
      <c r="O109" t="s">
        <v>234</v>
      </c>
      <c r="P109" t="s">
        <v>235</v>
      </c>
      <c r="Q109" t="s">
        <v>236</v>
      </c>
      <c r="R109" t="s">
        <v>24</v>
      </c>
      <c r="S109" t="s">
        <v>32</v>
      </c>
      <c r="T109" s="33">
        <v>69057.320000000007</v>
      </c>
      <c r="U109" t="s">
        <v>26</v>
      </c>
      <c r="V109">
        <v>43390</v>
      </c>
      <c r="W109">
        <v>1</v>
      </c>
      <c r="X109" t="s">
        <v>18</v>
      </c>
      <c r="Y109" t="s">
        <v>45</v>
      </c>
      <c r="Z109">
        <v>5.6821917808219178</v>
      </c>
      <c r="AA109" t="s">
        <v>20</v>
      </c>
    </row>
    <row r="110" spans="15:27" x14ac:dyDescent="0.25">
      <c r="O110" t="s">
        <v>669</v>
      </c>
      <c r="P110" t="s">
        <v>670</v>
      </c>
      <c r="Q110" t="s">
        <v>671</v>
      </c>
      <c r="R110" t="s">
        <v>15</v>
      </c>
      <c r="S110" t="s">
        <v>124</v>
      </c>
      <c r="T110" s="33">
        <v>77743.149999999994</v>
      </c>
      <c r="U110" t="s">
        <v>26</v>
      </c>
      <c r="V110">
        <v>43920</v>
      </c>
      <c r="W110">
        <v>1</v>
      </c>
      <c r="X110" t="s">
        <v>18</v>
      </c>
      <c r="Y110" t="s">
        <v>84</v>
      </c>
      <c r="Z110">
        <v>4.2301369863013702</v>
      </c>
      <c r="AA110" t="s">
        <v>20</v>
      </c>
    </row>
    <row r="111" spans="15:27" x14ac:dyDescent="0.25">
      <c r="O111" t="s">
        <v>448</v>
      </c>
      <c r="P111" t="s">
        <v>449</v>
      </c>
      <c r="Q111" t="s">
        <v>450</v>
      </c>
      <c r="R111" t="s">
        <v>15</v>
      </c>
      <c r="S111" t="s">
        <v>16</v>
      </c>
      <c r="T111" s="33">
        <v>108872.77</v>
      </c>
      <c r="U111" t="s">
        <v>17</v>
      </c>
      <c r="V111">
        <v>43521</v>
      </c>
      <c r="W111">
        <v>1</v>
      </c>
      <c r="X111" t="s">
        <v>18</v>
      </c>
      <c r="Y111" t="s">
        <v>19</v>
      </c>
      <c r="Z111">
        <v>5.3232876712328769</v>
      </c>
      <c r="AA111" t="s">
        <v>20</v>
      </c>
    </row>
    <row r="112" spans="15:27" x14ac:dyDescent="0.25">
      <c r="O112" t="s">
        <v>360</v>
      </c>
      <c r="P112" t="s">
        <v>361</v>
      </c>
      <c r="Q112" t="s">
        <v>362</v>
      </c>
      <c r="R112" t="s">
        <v>24</v>
      </c>
      <c r="S112" t="s">
        <v>101</v>
      </c>
      <c r="T112" s="33">
        <v>68887.839999999997</v>
      </c>
      <c r="U112" t="s">
        <v>26</v>
      </c>
      <c r="V112">
        <v>43297</v>
      </c>
      <c r="W112">
        <v>1</v>
      </c>
      <c r="X112" t="s">
        <v>18</v>
      </c>
      <c r="Y112" t="s">
        <v>19</v>
      </c>
      <c r="Z112">
        <v>5.9369863013698634</v>
      </c>
      <c r="AA112" t="s">
        <v>20</v>
      </c>
    </row>
    <row r="113" spans="15:27" x14ac:dyDescent="0.25">
      <c r="O113" t="s">
        <v>240</v>
      </c>
      <c r="P113" t="s">
        <v>241</v>
      </c>
      <c r="Q113" t="s">
        <v>242</v>
      </c>
      <c r="R113" t="s">
        <v>24</v>
      </c>
      <c r="S113" t="s">
        <v>124</v>
      </c>
      <c r="T113" s="33">
        <v>66865.490000000005</v>
      </c>
      <c r="U113" t="s">
        <v>26</v>
      </c>
      <c r="V113">
        <v>43514</v>
      </c>
      <c r="W113">
        <v>1</v>
      </c>
      <c r="X113" t="s">
        <v>18</v>
      </c>
      <c r="Y113" t="s">
        <v>27</v>
      </c>
      <c r="Z113">
        <v>5.3424657534246576</v>
      </c>
      <c r="AA113" t="s">
        <v>20</v>
      </c>
    </row>
    <row r="114" spans="15:27" x14ac:dyDescent="0.25">
      <c r="O114" t="s">
        <v>240</v>
      </c>
      <c r="P114" t="s">
        <v>241</v>
      </c>
      <c r="Q114" t="s">
        <v>242</v>
      </c>
      <c r="R114" t="s">
        <v>24</v>
      </c>
      <c r="S114" t="s">
        <v>124</v>
      </c>
      <c r="T114" s="33">
        <v>66865.490000000005</v>
      </c>
      <c r="U114" t="s">
        <v>26</v>
      </c>
      <c r="V114">
        <v>43514</v>
      </c>
      <c r="W114">
        <v>1</v>
      </c>
      <c r="X114" t="s">
        <v>18</v>
      </c>
      <c r="Y114" t="s">
        <v>27</v>
      </c>
      <c r="Z114">
        <v>5.3424657534246576</v>
      </c>
      <c r="AA114" t="s">
        <v>20</v>
      </c>
    </row>
    <row r="115" spans="15:27" x14ac:dyDescent="0.25">
      <c r="O115" t="s">
        <v>507</v>
      </c>
      <c r="P115" t="s">
        <v>508</v>
      </c>
      <c r="Q115" t="s">
        <v>509</v>
      </c>
      <c r="R115" t="s">
        <v>24</v>
      </c>
      <c r="S115" t="s">
        <v>97</v>
      </c>
      <c r="T115" s="33">
        <v>100731.95</v>
      </c>
      <c r="U115" t="s">
        <v>17</v>
      </c>
      <c r="V115">
        <v>43936</v>
      </c>
      <c r="W115">
        <v>1</v>
      </c>
      <c r="X115" t="s">
        <v>18</v>
      </c>
      <c r="Y115" t="s">
        <v>77</v>
      </c>
      <c r="Z115">
        <v>4.1863013698630134</v>
      </c>
      <c r="AA115" t="s">
        <v>20</v>
      </c>
    </row>
    <row r="116" spans="15:27" x14ac:dyDescent="0.25">
      <c r="O116" t="s">
        <v>279</v>
      </c>
      <c r="P116" t="s">
        <v>280</v>
      </c>
      <c r="Q116" t="s">
        <v>281</v>
      </c>
      <c r="R116" t="s">
        <v>49</v>
      </c>
      <c r="S116" t="s">
        <v>101</v>
      </c>
      <c r="T116" s="33">
        <v>107107.6</v>
      </c>
      <c r="U116" t="s">
        <v>17</v>
      </c>
      <c r="V116">
        <v>43325</v>
      </c>
      <c r="W116">
        <v>0.9</v>
      </c>
      <c r="X116" t="s">
        <v>18</v>
      </c>
      <c r="Y116" t="s">
        <v>84</v>
      </c>
      <c r="Z116">
        <v>5.86027397260274</v>
      </c>
      <c r="AA116" t="s">
        <v>28</v>
      </c>
    </row>
    <row r="117" spans="15:27" x14ac:dyDescent="0.25">
      <c r="O117" t="s">
        <v>630</v>
      </c>
      <c r="P117" t="s">
        <v>631</v>
      </c>
      <c r="Q117" t="s">
        <v>632</v>
      </c>
      <c r="R117" t="s">
        <v>24</v>
      </c>
      <c r="S117" t="s">
        <v>105</v>
      </c>
      <c r="T117" s="33">
        <v>102129.37</v>
      </c>
      <c r="U117" t="s">
        <v>17</v>
      </c>
      <c r="V117">
        <v>44396</v>
      </c>
      <c r="W117">
        <v>1</v>
      </c>
      <c r="X117" t="s">
        <v>18</v>
      </c>
      <c r="Y117" t="s">
        <v>72</v>
      </c>
      <c r="Z117">
        <v>2.9260273972602739</v>
      </c>
      <c r="AA117" t="s">
        <v>20</v>
      </c>
    </row>
    <row r="118" spans="15:27" x14ac:dyDescent="0.25">
      <c r="O118" t="s">
        <v>312</v>
      </c>
      <c r="P118" t="s">
        <v>313</v>
      </c>
      <c r="Q118" t="s">
        <v>314</v>
      </c>
      <c r="R118" t="s">
        <v>24</v>
      </c>
      <c r="S118" t="s">
        <v>131</v>
      </c>
      <c r="T118" s="33">
        <v>75733.740000000005</v>
      </c>
      <c r="U118" t="s">
        <v>26</v>
      </c>
      <c r="V118">
        <v>44382</v>
      </c>
      <c r="W118">
        <v>1</v>
      </c>
      <c r="X118" t="s">
        <v>18</v>
      </c>
      <c r="Y118" t="s">
        <v>41</v>
      </c>
      <c r="Z118">
        <v>2.9643835616438357</v>
      </c>
      <c r="AA118" t="s">
        <v>20</v>
      </c>
    </row>
    <row r="119" spans="15:27" x14ac:dyDescent="0.25">
      <c r="O119" t="s">
        <v>735</v>
      </c>
      <c r="P119" t="s">
        <v>736</v>
      </c>
      <c r="Q119" t="s">
        <v>737</v>
      </c>
      <c r="R119" t="s">
        <v>24</v>
      </c>
      <c r="S119" t="s">
        <v>105</v>
      </c>
      <c r="T119" s="33">
        <v>78020.39</v>
      </c>
      <c r="U119" t="s">
        <v>26</v>
      </c>
      <c r="V119">
        <v>43899</v>
      </c>
      <c r="W119">
        <v>1</v>
      </c>
      <c r="X119" t="s">
        <v>18</v>
      </c>
      <c r="Y119" t="s">
        <v>19</v>
      </c>
      <c r="Z119">
        <v>4.2876712328767121</v>
      </c>
      <c r="AA119" t="s">
        <v>20</v>
      </c>
    </row>
    <row r="120" spans="15:27" x14ac:dyDescent="0.25">
      <c r="O120" t="s">
        <v>395</v>
      </c>
      <c r="P120" t="s">
        <v>396</v>
      </c>
      <c r="Q120" t="s">
        <v>397</v>
      </c>
      <c r="R120" t="s">
        <v>24</v>
      </c>
      <c r="S120" t="s">
        <v>36</v>
      </c>
      <c r="T120" s="33">
        <v>95677.9</v>
      </c>
      <c r="U120" t="s">
        <v>26</v>
      </c>
      <c r="V120">
        <v>44396</v>
      </c>
      <c r="W120">
        <v>0.3</v>
      </c>
      <c r="X120" t="s">
        <v>18</v>
      </c>
      <c r="Y120" t="s">
        <v>84</v>
      </c>
      <c r="Z120">
        <v>2.9260273972602739</v>
      </c>
      <c r="AA120" t="s">
        <v>28</v>
      </c>
    </row>
    <row r="121" spans="15:27" x14ac:dyDescent="0.25">
      <c r="O121" t="s">
        <v>525</v>
      </c>
      <c r="P121" t="s">
        <v>526</v>
      </c>
      <c r="Q121" t="s">
        <v>527</v>
      </c>
      <c r="R121" t="s">
        <v>15</v>
      </c>
      <c r="S121" t="s">
        <v>16</v>
      </c>
      <c r="T121" s="33">
        <v>109143.17</v>
      </c>
      <c r="U121" t="s">
        <v>17</v>
      </c>
      <c r="V121">
        <v>43945</v>
      </c>
      <c r="W121">
        <v>1</v>
      </c>
      <c r="X121" t="s">
        <v>18</v>
      </c>
      <c r="Y121" t="s">
        <v>45</v>
      </c>
      <c r="Z121">
        <v>4.161643835616438</v>
      </c>
      <c r="AA121" t="s">
        <v>20</v>
      </c>
    </row>
    <row r="122" spans="15:27" x14ac:dyDescent="0.25">
      <c r="O122" t="s">
        <v>593</v>
      </c>
      <c r="P122" t="s">
        <v>594</v>
      </c>
      <c r="Q122" t="s">
        <v>595</v>
      </c>
      <c r="R122" t="s">
        <v>24</v>
      </c>
      <c r="S122" t="s">
        <v>32</v>
      </c>
      <c r="T122" s="33">
        <v>28305.08</v>
      </c>
      <c r="U122" t="s">
        <v>65</v>
      </c>
      <c r="V122">
        <v>43754</v>
      </c>
      <c r="W122">
        <v>1</v>
      </c>
      <c r="X122" t="s">
        <v>18</v>
      </c>
      <c r="Y122" t="s">
        <v>19</v>
      </c>
      <c r="Z122">
        <v>4.6849315068493151</v>
      </c>
      <c r="AA122" t="s">
        <v>20</v>
      </c>
    </row>
    <row r="123" spans="15:27" x14ac:dyDescent="0.25">
      <c r="O123" t="s">
        <v>324</v>
      </c>
      <c r="P123" t="s">
        <v>325</v>
      </c>
      <c r="Q123" t="s">
        <v>326</v>
      </c>
      <c r="R123" t="s">
        <v>15</v>
      </c>
      <c r="S123" t="s">
        <v>54</v>
      </c>
      <c r="T123" s="33">
        <v>76932.600000000006</v>
      </c>
      <c r="U123" t="s">
        <v>26</v>
      </c>
      <c r="V123">
        <v>43493</v>
      </c>
      <c r="W123">
        <v>1</v>
      </c>
      <c r="X123" t="s">
        <v>18</v>
      </c>
      <c r="Y123" t="s">
        <v>41</v>
      </c>
      <c r="Z123">
        <v>5.4</v>
      </c>
      <c r="AA123" t="s">
        <v>20</v>
      </c>
    </row>
    <row r="124" spans="15:27" x14ac:dyDescent="0.25">
      <c r="O124" t="s">
        <v>88</v>
      </c>
      <c r="P124" t="s">
        <v>89</v>
      </c>
      <c r="Q124" t="s">
        <v>90</v>
      </c>
      <c r="R124" t="s">
        <v>15</v>
      </c>
      <c r="S124" t="s">
        <v>32</v>
      </c>
      <c r="T124" s="33">
        <v>69913.39</v>
      </c>
      <c r="U124" t="s">
        <v>26</v>
      </c>
      <c r="V124">
        <v>43584</v>
      </c>
      <c r="W124">
        <v>1</v>
      </c>
      <c r="X124" t="s">
        <v>18</v>
      </c>
      <c r="Y124" t="s">
        <v>19</v>
      </c>
      <c r="Z124">
        <v>5.1506849315068495</v>
      </c>
      <c r="AA124" t="s">
        <v>20</v>
      </c>
    </row>
    <row r="125" spans="15:27" x14ac:dyDescent="0.25">
      <c r="O125" t="s">
        <v>368</v>
      </c>
      <c r="P125" t="s">
        <v>369</v>
      </c>
      <c r="Q125" t="s">
        <v>370</v>
      </c>
      <c r="R125" t="s">
        <v>15</v>
      </c>
      <c r="S125" t="s">
        <v>124</v>
      </c>
      <c r="T125" s="33">
        <v>111229.47</v>
      </c>
      <c r="U125" t="s">
        <v>17</v>
      </c>
      <c r="V125">
        <v>43402</v>
      </c>
      <c r="W125">
        <v>1</v>
      </c>
      <c r="X125" t="s">
        <v>18</v>
      </c>
      <c r="Y125" t="s">
        <v>19</v>
      </c>
      <c r="Z125">
        <v>5.6493150684931503</v>
      </c>
      <c r="AA125" t="s">
        <v>20</v>
      </c>
    </row>
    <row r="126" spans="15:27" x14ac:dyDescent="0.25">
      <c r="O126" t="s">
        <v>29</v>
      </c>
      <c r="P126" t="s">
        <v>30</v>
      </c>
      <c r="Q126" t="s">
        <v>31</v>
      </c>
      <c r="R126" t="s">
        <v>24</v>
      </c>
      <c r="S126" t="s">
        <v>32</v>
      </c>
      <c r="T126" s="33">
        <v>120000</v>
      </c>
      <c r="U126" t="s">
        <v>17</v>
      </c>
      <c r="V126">
        <v>43902</v>
      </c>
      <c r="W126">
        <v>0.9</v>
      </c>
      <c r="X126" t="s">
        <v>18</v>
      </c>
      <c r="Y126" t="s">
        <v>19</v>
      </c>
      <c r="Z126">
        <v>4.279452054794521</v>
      </c>
      <c r="AA126" t="s">
        <v>28</v>
      </c>
    </row>
    <row r="127" spans="15:27" x14ac:dyDescent="0.25">
      <c r="O127" t="s">
        <v>704</v>
      </c>
      <c r="P127" t="s">
        <v>705</v>
      </c>
      <c r="Q127" t="s">
        <v>706</v>
      </c>
      <c r="R127" t="s">
        <v>24</v>
      </c>
      <c r="S127" t="s">
        <v>97</v>
      </c>
      <c r="T127" s="33">
        <v>85264.38</v>
      </c>
      <c r="U127" t="s">
        <v>26</v>
      </c>
      <c r="V127">
        <v>43220</v>
      </c>
      <c r="W127">
        <v>1</v>
      </c>
      <c r="X127" t="s">
        <v>18</v>
      </c>
      <c r="Y127" t="s">
        <v>84</v>
      </c>
      <c r="Z127">
        <v>6.1479452054794521</v>
      </c>
      <c r="AA127" t="s">
        <v>20</v>
      </c>
    </row>
    <row r="128" spans="15:27" x14ac:dyDescent="0.25">
      <c r="O128" t="s">
        <v>460</v>
      </c>
      <c r="P128" t="s">
        <v>461</v>
      </c>
      <c r="Q128" t="s">
        <v>462</v>
      </c>
      <c r="R128" t="s">
        <v>15</v>
      </c>
      <c r="S128" t="s">
        <v>32</v>
      </c>
      <c r="T128" s="33">
        <v>100424.23</v>
      </c>
      <c r="U128" t="s">
        <v>17</v>
      </c>
      <c r="V128">
        <v>43801</v>
      </c>
      <c r="W128">
        <v>1</v>
      </c>
      <c r="X128" t="s">
        <v>18</v>
      </c>
      <c r="Y128" t="s">
        <v>77</v>
      </c>
      <c r="Z128">
        <v>4.5561643835616437</v>
      </c>
      <c r="AA128" t="s">
        <v>20</v>
      </c>
    </row>
    <row r="129" spans="15:27" x14ac:dyDescent="0.25">
      <c r="O129" t="s">
        <v>428</v>
      </c>
      <c r="P129" t="s">
        <v>429</v>
      </c>
      <c r="Q129" t="s">
        <v>430</v>
      </c>
      <c r="R129" t="s">
        <v>24</v>
      </c>
      <c r="S129" t="s">
        <v>50</v>
      </c>
      <c r="T129" s="33">
        <v>71924.850000000006</v>
      </c>
      <c r="U129" t="s">
        <v>26</v>
      </c>
      <c r="V129">
        <v>43822</v>
      </c>
      <c r="W129">
        <v>1</v>
      </c>
      <c r="X129" t="s">
        <v>18</v>
      </c>
      <c r="Y129" t="s">
        <v>84</v>
      </c>
      <c r="Z129">
        <v>4.4986301369863018</v>
      </c>
      <c r="AA129" t="s">
        <v>20</v>
      </c>
    </row>
    <row r="130" spans="15:27" x14ac:dyDescent="0.25">
      <c r="O130" t="s">
        <v>484</v>
      </c>
      <c r="P130" t="s">
        <v>485</v>
      </c>
      <c r="Q130" t="s">
        <v>486</v>
      </c>
      <c r="R130" t="s">
        <v>24</v>
      </c>
      <c r="S130" t="s">
        <v>25</v>
      </c>
      <c r="T130" s="33">
        <v>61688.77</v>
      </c>
      <c r="U130" t="s">
        <v>26</v>
      </c>
      <c r="V130">
        <v>43346</v>
      </c>
      <c r="W130">
        <v>0.9</v>
      </c>
      <c r="X130" t="s">
        <v>18</v>
      </c>
      <c r="Y130" t="s">
        <v>84</v>
      </c>
      <c r="Z130">
        <v>5.8027397260273972</v>
      </c>
      <c r="AA130" t="s">
        <v>28</v>
      </c>
    </row>
    <row r="131" spans="15:27" x14ac:dyDescent="0.25">
      <c r="O131" t="s">
        <v>285</v>
      </c>
      <c r="P131" t="s">
        <v>286</v>
      </c>
      <c r="Q131" t="s">
        <v>287</v>
      </c>
      <c r="R131" t="s">
        <v>24</v>
      </c>
      <c r="S131" t="s">
        <v>124</v>
      </c>
      <c r="T131" s="33">
        <v>75475.929999999993</v>
      </c>
      <c r="U131" t="s">
        <v>26</v>
      </c>
      <c r="V131">
        <v>43794</v>
      </c>
      <c r="W131">
        <v>1</v>
      </c>
      <c r="X131" t="s">
        <v>18</v>
      </c>
      <c r="Y131" t="s">
        <v>19</v>
      </c>
      <c r="Z131">
        <v>4.5753424657534243</v>
      </c>
      <c r="AA131" t="s">
        <v>20</v>
      </c>
    </row>
    <row r="132" spans="15:27" x14ac:dyDescent="0.25">
      <c r="O132" t="s">
        <v>81</v>
      </c>
      <c r="P132" t="s">
        <v>82</v>
      </c>
      <c r="Q132" t="s">
        <v>83</v>
      </c>
      <c r="R132" t="s">
        <v>24</v>
      </c>
      <c r="S132" t="s">
        <v>36</v>
      </c>
      <c r="T132" s="33">
        <v>37902.35</v>
      </c>
      <c r="U132" t="s">
        <v>65</v>
      </c>
      <c r="V132">
        <v>43823</v>
      </c>
      <c r="W132">
        <v>1</v>
      </c>
      <c r="X132" t="s">
        <v>18</v>
      </c>
      <c r="Y132" t="s">
        <v>84</v>
      </c>
      <c r="Z132">
        <v>4.4958904109589044</v>
      </c>
      <c r="AA132" t="s">
        <v>20</v>
      </c>
    </row>
    <row r="133" spans="15:27" x14ac:dyDescent="0.25">
      <c r="O133" t="s">
        <v>81</v>
      </c>
      <c r="P133" t="s">
        <v>437</v>
      </c>
      <c r="Q133" t="s">
        <v>438</v>
      </c>
      <c r="R133" t="s">
        <v>24</v>
      </c>
      <c r="S133" t="s">
        <v>36</v>
      </c>
      <c r="T133" s="33">
        <v>37902.35</v>
      </c>
      <c r="U133" t="s">
        <v>65</v>
      </c>
      <c r="V133">
        <v>43823</v>
      </c>
      <c r="W133">
        <v>1</v>
      </c>
      <c r="X133" t="s">
        <v>18</v>
      </c>
      <c r="Y133" t="s">
        <v>84</v>
      </c>
      <c r="Z133">
        <v>4.4958904109589044</v>
      </c>
      <c r="AA133" t="s">
        <v>20</v>
      </c>
    </row>
    <row r="134" spans="15:27" x14ac:dyDescent="0.25">
      <c r="O134" t="s">
        <v>174</v>
      </c>
      <c r="P134" t="s">
        <v>175</v>
      </c>
      <c r="Q134" t="s">
        <v>176</v>
      </c>
      <c r="R134" t="s">
        <v>24</v>
      </c>
      <c r="S134" t="s">
        <v>50</v>
      </c>
      <c r="T134" s="33">
        <v>63555.73</v>
      </c>
      <c r="U134" t="s">
        <v>26</v>
      </c>
      <c r="V134">
        <v>44159</v>
      </c>
      <c r="W134">
        <v>1</v>
      </c>
      <c r="X134" t="s">
        <v>18</v>
      </c>
      <c r="Y134" t="s">
        <v>84</v>
      </c>
      <c r="Z134">
        <v>3.5753424657534247</v>
      </c>
      <c r="AA134" t="s">
        <v>20</v>
      </c>
    </row>
    <row r="135" spans="15:27" x14ac:dyDescent="0.25">
      <c r="O135" t="s">
        <v>612</v>
      </c>
      <c r="P135" t="s">
        <v>613</v>
      </c>
      <c r="Q135" t="s">
        <v>614</v>
      </c>
      <c r="R135" t="s">
        <v>24</v>
      </c>
      <c r="S135" t="s">
        <v>124</v>
      </c>
      <c r="T135" s="33">
        <v>68197.899999999994</v>
      </c>
      <c r="U135" t="s">
        <v>26</v>
      </c>
      <c r="V135">
        <v>44119</v>
      </c>
      <c r="W135">
        <v>1</v>
      </c>
      <c r="X135" t="s">
        <v>18</v>
      </c>
      <c r="Y135" t="s">
        <v>77</v>
      </c>
      <c r="Z135">
        <v>3.6849315068493151</v>
      </c>
      <c r="AA135" t="s">
        <v>20</v>
      </c>
    </row>
    <row r="136" spans="15:27" x14ac:dyDescent="0.25">
      <c r="O136" t="s">
        <v>639</v>
      </c>
      <c r="P136" t="s">
        <v>640</v>
      </c>
      <c r="Q136" t="s">
        <v>641</v>
      </c>
      <c r="R136" t="s">
        <v>24</v>
      </c>
      <c r="S136" t="s">
        <v>16</v>
      </c>
      <c r="T136" s="33">
        <v>94815.28</v>
      </c>
      <c r="U136" t="s">
        <v>26</v>
      </c>
      <c r="V136">
        <v>43440</v>
      </c>
      <c r="W136">
        <v>1</v>
      </c>
      <c r="X136" t="s">
        <v>18</v>
      </c>
      <c r="Y136" t="s">
        <v>27</v>
      </c>
      <c r="Z136">
        <v>5.5452054794520551</v>
      </c>
      <c r="AA136" t="s">
        <v>20</v>
      </c>
    </row>
    <row r="137" spans="15:27" x14ac:dyDescent="0.25">
      <c r="O137" t="s">
        <v>91</v>
      </c>
      <c r="P137" t="s">
        <v>92</v>
      </c>
      <c r="Q137" t="s">
        <v>93</v>
      </c>
      <c r="R137" t="s">
        <v>15</v>
      </c>
      <c r="S137" t="s">
        <v>58</v>
      </c>
      <c r="T137" s="33">
        <v>52748.63</v>
      </c>
      <c r="U137" t="s">
        <v>26</v>
      </c>
      <c r="V137">
        <v>43857</v>
      </c>
      <c r="W137">
        <v>1</v>
      </c>
      <c r="X137" t="s">
        <v>18</v>
      </c>
      <c r="Y137" t="s">
        <v>84</v>
      </c>
      <c r="Z137">
        <v>4.4027397260273968</v>
      </c>
      <c r="AA137" t="s">
        <v>20</v>
      </c>
    </row>
    <row r="138" spans="15:27" x14ac:dyDescent="0.25">
      <c r="O138" t="s">
        <v>551</v>
      </c>
      <c r="P138" t="s">
        <v>552</v>
      </c>
      <c r="Q138" t="s">
        <v>553</v>
      </c>
      <c r="R138" t="s">
        <v>24</v>
      </c>
      <c r="S138" t="s">
        <v>32</v>
      </c>
      <c r="T138" s="33">
        <v>109163.39</v>
      </c>
      <c r="U138" t="s">
        <v>17</v>
      </c>
      <c r="V138">
        <v>44019</v>
      </c>
      <c r="W138">
        <v>0.8</v>
      </c>
      <c r="X138" t="s">
        <v>18</v>
      </c>
      <c r="Y138" t="s">
        <v>27</v>
      </c>
      <c r="Z138">
        <v>3.9589041095890409</v>
      </c>
      <c r="AA138" t="s">
        <v>28</v>
      </c>
    </row>
    <row r="139" spans="15:27" x14ac:dyDescent="0.25">
      <c r="O139" t="s">
        <v>404</v>
      </c>
      <c r="P139" t="s">
        <v>405</v>
      </c>
      <c r="Q139" t="s">
        <v>406</v>
      </c>
      <c r="R139" t="s">
        <v>24</v>
      </c>
      <c r="S139" t="s">
        <v>50</v>
      </c>
      <c r="T139" s="33">
        <v>88034.67</v>
      </c>
      <c r="U139" t="s">
        <v>26</v>
      </c>
      <c r="V139">
        <v>43669</v>
      </c>
      <c r="W139">
        <v>1</v>
      </c>
      <c r="X139" t="s">
        <v>18</v>
      </c>
      <c r="Y139" t="s">
        <v>19</v>
      </c>
      <c r="Z139">
        <v>4.9178082191780819</v>
      </c>
      <c r="AA139" t="s">
        <v>20</v>
      </c>
    </row>
    <row r="140" spans="15:27" x14ac:dyDescent="0.25">
      <c r="O140" t="s">
        <v>345</v>
      </c>
      <c r="P140" t="s">
        <v>346</v>
      </c>
      <c r="Q140" t="s">
        <v>347</v>
      </c>
      <c r="R140" t="s">
        <v>24</v>
      </c>
      <c r="S140" t="s">
        <v>32</v>
      </c>
      <c r="T140" s="33">
        <v>42161.77</v>
      </c>
      <c r="U140" t="s">
        <v>65</v>
      </c>
      <c r="V140">
        <v>43494</v>
      </c>
      <c r="W140">
        <v>1</v>
      </c>
      <c r="X140" t="s">
        <v>18</v>
      </c>
      <c r="Y140" t="s">
        <v>77</v>
      </c>
      <c r="Z140">
        <v>5.397260273972603</v>
      </c>
      <c r="AA140" t="s">
        <v>20</v>
      </c>
    </row>
    <row r="141" spans="15:27" x14ac:dyDescent="0.25">
      <c r="O141" t="s">
        <v>327</v>
      </c>
      <c r="P141" t="s">
        <v>328</v>
      </c>
      <c r="Q141" t="s">
        <v>329</v>
      </c>
      <c r="R141" t="s">
        <v>15</v>
      </c>
      <c r="S141" t="s">
        <v>50</v>
      </c>
      <c r="T141" s="33">
        <v>59258.19</v>
      </c>
      <c r="U141" t="s">
        <v>26</v>
      </c>
      <c r="V141">
        <v>43452</v>
      </c>
      <c r="W141">
        <v>0.8</v>
      </c>
      <c r="X141" t="s">
        <v>18</v>
      </c>
      <c r="Y141" t="s">
        <v>27</v>
      </c>
      <c r="Z141">
        <v>5.5123287671232877</v>
      </c>
      <c r="AA141" t="s">
        <v>28</v>
      </c>
    </row>
    <row r="142" spans="15:27" x14ac:dyDescent="0.25">
      <c r="O142" t="s">
        <v>327</v>
      </c>
      <c r="P142" t="s">
        <v>328</v>
      </c>
      <c r="Q142" t="s">
        <v>329</v>
      </c>
      <c r="R142" t="s">
        <v>15</v>
      </c>
      <c r="S142" t="s">
        <v>50</v>
      </c>
      <c r="T142" s="33">
        <v>59258.19</v>
      </c>
      <c r="U142" t="s">
        <v>26</v>
      </c>
      <c r="V142">
        <v>43452</v>
      </c>
      <c r="W142">
        <v>0.8</v>
      </c>
      <c r="X142" t="s">
        <v>18</v>
      </c>
      <c r="Y142" t="s">
        <v>27</v>
      </c>
      <c r="Z142">
        <v>5.5123287671232877</v>
      </c>
      <c r="AA142" t="s">
        <v>28</v>
      </c>
    </row>
    <row r="143" spans="15:27" x14ac:dyDescent="0.25">
      <c r="O143" t="s">
        <v>109</v>
      </c>
      <c r="P143" t="s">
        <v>110</v>
      </c>
      <c r="Q143" t="s">
        <v>111</v>
      </c>
      <c r="R143" t="s">
        <v>24</v>
      </c>
      <c r="S143" t="s">
        <v>36</v>
      </c>
      <c r="T143" s="33">
        <v>71570.990000000005</v>
      </c>
      <c r="U143" t="s">
        <v>26</v>
      </c>
      <c r="V143">
        <v>44249</v>
      </c>
      <c r="W143">
        <v>0.5</v>
      </c>
      <c r="X143" t="s">
        <v>18</v>
      </c>
      <c r="Y143" t="s">
        <v>41</v>
      </c>
      <c r="Z143">
        <v>3.3287671232876712</v>
      </c>
      <c r="AA143" t="s">
        <v>28</v>
      </c>
    </row>
    <row r="144" spans="15:27" x14ac:dyDescent="0.25">
      <c r="O144" t="s">
        <v>371</v>
      </c>
      <c r="P144" t="s">
        <v>372</v>
      </c>
      <c r="Q144" t="s">
        <v>373</v>
      </c>
      <c r="R144" t="s">
        <v>15</v>
      </c>
      <c r="S144" t="s">
        <v>101</v>
      </c>
      <c r="T144" s="33">
        <v>67633.850000000006</v>
      </c>
      <c r="U144" t="s">
        <v>26</v>
      </c>
      <c r="V144">
        <v>43340</v>
      </c>
      <c r="W144">
        <v>1</v>
      </c>
      <c r="X144" t="s">
        <v>18</v>
      </c>
      <c r="Y144" t="s">
        <v>72</v>
      </c>
      <c r="Z144">
        <v>5.8191780821917805</v>
      </c>
      <c r="AA144" t="s">
        <v>20</v>
      </c>
    </row>
    <row r="145" spans="15:27" x14ac:dyDescent="0.25">
      <c r="O145" t="s">
        <v>357</v>
      </c>
      <c r="P145" t="s">
        <v>358</v>
      </c>
      <c r="Q145" t="s">
        <v>359</v>
      </c>
      <c r="R145" t="s">
        <v>15</v>
      </c>
      <c r="S145" t="s">
        <v>131</v>
      </c>
      <c r="T145" s="33">
        <v>89838.77</v>
      </c>
      <c r="U145" t="s">
        <v>26</v>
      </c>
      <c r="V145">
        <v>43602</v>
      </c>
      <c r="W145">
        <v>1</v>
      </c>
      <c r="X145" t="s">
        <v>18</v>
      </c>
      <c r="Y145" t="s">
        <v>19</v>
      </c>
      <c r="Z145">
        <v>5.1013698630136988</v>
      </c>
      <c r="AA145" t="s">
        <v>20</v>
      </c>
    </row>
    <row r="146" spans="15:27" x14ac:dyDescent="0.25">
      <c r="O146" t="s">
        <v>466</v>
      </c>
      <c r="P146" t="s">
        <v>467</v>
      </c>
      <c r="Q146" t="s">
        <v>468</v>
      </c>
      <c r="R146" t="s">
        <v>15</v>
      </c>
      <c r="S146" t="s">
        <v>131</v>
      </c>
      <c r="T146" s="33">
        <v>28481.16</v>
      </c>
      <c r="U146" t="s">
        <v>65</v>
      </c>
      <c r="V146">
        <v>43916</v>
      </c>
      <c r="W146">
        <v>1</v>
      </c>
      <c r="X146" t="s">
        <v>18</v>
      </c>
      <c r="Y146" t="s">
        <v>41</v>
      </c>
      <c r="Z146">
        <v>4.2410958904109588</v>
      </c>
      <c r="AA146" t="s">
        <v>20</v>
      </c>
    </row>
    <row r="147" spans="15:27" x14ac:dyDescent="0.25">
      <c r="O147" t="s">
        <v>466</v>
      </c>
      <c r="P147" t="s">
        <v>617</v>
      </c>
      <c r="Q147" t="s">
        <v>618</v>
      </c>
      <c r="R147" t="s">
        <v>15</v>
      </c>
      <c r="S147" t="s">
        <v>131</v>
      </c>
      <c r="T147" s="33">
        <v>28481.16</v>
      </c>
      <c r="U147" t="s">
        <v>65</v>
      </c>
      <c r="V147">
        <v>43916</v>
      </c>
      <c r="W147">
        <v>1</v>
      </c>
      <c r="X147" t="s">
        <v>18</v>
      </c>
      <c r="Y147" t="s">
        <v>41</v>
      </c>
      <c r="Z147">
        <v>4.2410958904109588</v>
      </c>
      <c r="AA147" t="s">
        <v>20</v>
      </c>
    </row>
    <row r="148" spans="15:27" x14ac:dyDescent="0.25">
      <c r="O148" t="s">
        <v>66</v>
      </c>
      <c r="P148" t="s">
        <v>67</v>
      </c>
      <c r="Q148" t="s">
        <v>68</v>
      </c>
      <c r="R148" t="s">
        <v>24</v>
      </c>
      <c r="S148" t="s">
        <v>16</v>
      </c>
      <c r="T148" s="33">
        <v>114425.19</v>
      </c>
      <c r="U148" t="s">
        <v>17</v>
      </c>
      <c r="V148">
        <v>43857</v>
      </c>
      <c r="W148">
        <v>1</v>
      </c>
      <c r="X148" t="s">
        <v>18</v>
      </c>
      <c r="Y148" t="s">
        <v>45</v>
      </c>
      <c r="Z148">
        <v>4.4027397260273968</v>
      </c>
      <c r="AA148" t="s">
        <v>20</v>
      </c>
    </row>
    <row r="149" spans="15:27" x14ac:dyDescent="0.25">
      <c r="O149" t="s">
        <v>401</v>
      </c>
      <c r="P149" t="s">
        <v>402</v>
      </c>
      <c r="Q149" t="s">
        <v>403</v>
      </c>
      <c r="R149" t="s">
        <v>15</v>
      </c>
      <c r="S149" t="s">
        <v>131</v>
      </c>
      <c r="T149" s="33">
        <v>99460.78</v>
      </c>
      <c r="U149" t="s">
        <v>26</v>
      </c>
      <c r="V149">
        <v>43956</v>
      </c>
      <c r="W149">
        <v>1</v>
      </c>
      <c r="X149" t="s">
        <v>18</v>
      </c>
      <c r="Y149" t="s">
        <v>19</v>
      </c>
      <c r="Z149">
        <v>4.1315068493150688</v>
      </c>
      <c r="AA149" t="s">
        <v>20</v>
      </c>
    </row>
    <row r="150" spans="15:27" x14ac:dyDescent="0.25">
      <c r="O150" t="s">
        <v>715</v>
      </c>
      <c r="P150" t="s">
        <v>716</v>
      </c>
      <c r="Q150" t="s">
        <v>717</v>
      </c>
      <c r="R150" t="s">
        <v>15</v>
      </c>
      <c r="S150" t="s">
        <v>50</v>
      </c>
      <c r="T150" s="33">
        <v>30077.45</v>
      </c>
      <c r="U150" t="s">
        <v>65</v>
      </c>
      <c r="V150">
        <v>43474</v>
      </c>
      <c r="W150">
        <v>1</v>
      </c>
      <c r="X150" t="s">
        <v>18</v>
      </c>
      <c r="Y150" t="s">
        <v>45</v>
      </c>
      <c r="Z150">
        <v>5.4520547945205475</v>
      </c>
      <c r="AA150" t="s">
        <v>20</v>
      </c>
    </row>
    <row r="151" spans="15:27" x14ac:dyDescent="0.25">
      <c r="O151" t="s">
        <v>621</v>
      </c>
      <c r="P151" t="s">
        <v>622</v>
      </c>
      <c r="Q151" t="s">
        <v>623</v>
      </c>
      <c r="R151" t="s">
        <v>15</v>
      </c>
      <c r="S151" t="s">
        <v>124</v>
      </c>
      <c r="T151" s="33">
        <v>80360.41</v>
      </c>
      <c r="U151" t="s">
        <v>26</v>
      </c>
      <c r="V151">
        <v>44167</v>
      </c>
      <c r="W151">
        <v>1</v>
      </c>
      <c r="X151" t="s">
        <v>18</v>
      </c>
      <c r="Y151" t="s">
        <v>19</v>
      </c>
      <c r="Z151">
        <v>3.5534246575342467</v>
      </c>
      <c r="AA151" t="s">
        <v>20</v>
      </c>
    </row>
    <row r="152" spans="15:27" x14ac:dyDescent="0.25">
      <c r="O152" t="s">
        <v>563</v>
      </c>
      <c r="P152" t="s">
        <v>564</v>
      </c>
      <c r="Q152" t="s">
        <v>565</v>
      </c>
      <c r="R152" t="s">
        <v>24</v>
      </c>
      <c r="S152" t="s">
        <v>124</v>
      </c>
      <c r="T152" s="33">
        <v>68795.48</v>
      </c>
      <c r="U152" t="s">
        <v>26</v>
      </c>
      <c r="V152">
        <v>44277</v>
      </c>
      <c r="W152">
        <v>0.2</v>
      </c>
      <c r="X152" t="s">
        <v>18</v>
      </c>
      <c r="Y152" t="s">
        <v>19</v>
      </c>
      <c r="Z152">
        <v>3.2520547945205478</v>
      </c>
      <c r="AA152" t="s">
        <v>28</v>
      </c>
    </row>
    <row r="153" spans="15:27" x14ac:dyDescent="0.25">
      <c r="O153" t="s">
        <v>563</v>
      </c>
      <c r="P153" t="s">
        <v>564</v>
      </c>
      <c r="Q153" t="s">
        <v>565</v>
      </c>
      <c r="R153" t="s">
        <v>24</v>
      </c>
      <c r="S153" t="s">
        <v>124</v>
      </c>
      <c r="T153" s="33">
        <v>68795.48</v>
      </c>
      <c r="U153" t="s">
        <v>26</v>
      </c>
      <c r="V153">
        <v>44277</v>
      </c>
      <c r="W153">
        <v>0.2</v>
      </c>
      <c r="X153" t="s">
        <v>18</v>
      </c>
      <c r="Y153" t="s">
        <v>19</v>
      </c>
      <c r="Z153">
        <v>3.2520547945205478</v>
      </c>
      <c r="AA153" t="s">
        <v>28</v>
      </c>
    </row>
    <row r="154" spans="15:27" x14ac:dyDescent="0.25">
      <c r="O154" t="s">
        <v>386</v>
      </c>
      <c r="P154" t="s">
        <v>387</v>
      </c>
      <c r="Q154" t="s">
        <v>388</v>
      </c>
      <c r="R154" t="s">
        <v>15</v>
      </c>
      <c r="S154" t="s">
        <v>25</v>
      </c>
      <c r="T154" s="33">
        <v>88511.17</v>
      </c>
      <c r="U154" t="s">
        <v>26</v>
      </c>
      <c r="V154">
        <v>43950</v>
      </c>
      <c r="W154">
        <v>1</v>
      </c>
      <c r="X154" t="s">
        <v>18</v>
      </c>
      <c r="Y154" t="s">
        <v>72</v>
      </c>
      <c r="Z154">
        <v>4.1479452054794521</v>
      </c>
      <c r="AA154" t="s">
        <v>20</v>
      </c>
    </row>
    <row r="155" spans="15:27" x14ac:dyDescent="0.25">
      <c r="O155" t="s">
        <v>581</v>
      </c>
      <c r="P155" t="s">
        <v>582</v>
      </c>
      <c r="Q155" t="s">
        <v>583</v>
      </c>
      <c r="R155" t="s">
        <v>15</v>
      </c>
      <c r="S155" t="s">
        <v>101</v>
      </c>
      <c r="T155" s="33">
        <v>57925.91</v>
      </c>
      <c r="U155" t="s">
        <v>26</v>
      </c>
      <c r="V155">
        <v>43572</v>
      </c>
      <c r="W155">
        <v>0.5</v>
      </c>
      <c r="X155" t="s">
        <v>18</v>
      </c>
      <c r="Y155" t="s">
        <v>45</v>
      </c>
      <c r="Z155">
        <v>5.183561643835616</v>
      </c>
      <c r="AA155" t="s">
        <v>28</v>
      </c>
    </row>
    <row r="156" spans="15:27" x14ac:dyDescent="0.25">
      <c r="O156" t="s">
        <v>168</v>
      </c>
      <c r="P156" t="s">
        <v>169</v>
      </c>
      <c r="Q156" t="s">
        <v>170</v>
      </c>
      <c r="R156" t="s">
        <v>15</v>
      </c>
      <c r="S156" t="s">
        <v>25</v>
      </c>
      <c r="T156" s="33">
        <v>80169.42</v>
      </c>
      <c r="U156" t="s">
        <v>26</v>
      </c>
      <c r="V156">
        <v>44053</v>
      </c>
      <c r="W156">
        <v>1</v>
      </c>
      <c r="X156" t="s">
        <v>18</v>
      </c>
      <c r="Y156" t="s">
        <v>77</v>
      </c>
      <c r="Z156">
        <v>3.8657534246575342</v>
      </c>
      <c r="AA156" t="s">
        <v>20</v>
      </c>
    </row>
    <row r="157" spans="15:27" x14ac:dyDescent="0.25">
      <c r="O157" t="s">
        <v>168</v>
      </c>
      <c r="P157" t="s">
        <v>169</v>
      </c>
      <c r="Q157" t="s">
        <v>170</v>
      </c>
      <c r="R157" t="s">
        <v>15</v>
      </c>
      <c r="S157" t="s">
        <v>25</v>
      </c>
      <c r="T157" s="33">
        <v>80169.42</v>
      </c>
      <c r="U157" t="s">
        <v>26</v>
      </c>
      <c r="V157">
        <v>44053</v>
      </c>
      <c r="W157">
        <v>1</v>
      </c>
      <c r="X157" t="s">
        <v>18</v>
      </c>
      <c r="Y157" t="s">
        <v>77</v>
      </c>
      <c r="Z157">
        <v>3.8657534246575342</v>
      </c>
      <c r="AA157" t="s">
        <v>20</v>
      </c>
    </row>
    <row r="158" spans="15:27" x14ac:dyDescent="0.25">
      <c r="O158" t="s">
        <v>422</v>
      </c>
      <c r="P158" t="s">
        <v>423</v>
      </c>
      <c r="Q158" t="s">
        <v>424</v>
      </c>
      <c r="R158" t="s">
        <v>15</v>
      </c>
      <c r="S158" t="s">
        <v>32</v>
      </c>
      <c r="T158" s="33">
        <v>88689.09</v>
      </c>
      <c r="U158" t="s">
        <v>26</v>
      </c>
      <c r="V158">
        <v>43740</v>
      </c>
      <c r="W158">
        <v>1</v>
      </c>
      <c r="X158" t="s">
        <v>18</v>
      </c>
      <c r="Y158" t="s">
        <v>27</v>
      </c>
      <c r="Z158">
        <v>4.7232876712328764</v>
      </c>
      <c r="AA158" t="s">
        <v>20</v>
      </c>
    </row>
    <row r="159" spans="15:27" x14ac:dyDescent="0.25">
      <c r="O159" t="s">
        <v>697</v>
      </c>
      <c r="P159" t="s">
        <v>133</v>
      </c>
      <c r="Q159" t="s">
        <v>134</v>
      </c>
      <c r="R159" t="s">
        <v>15</v>
      </c>
      <c r="S159" t="s">
        <v>25</v>
      </c>
      <c r="T159" s="33">
        <v>90884.32</v>
      </c>
      <c r="U159" t="s">
        <v>26</v>
      </c>
      <c r="V159">
        <v>44039</v>
      </c>
      <c r="W159">
        <v>0.5</v>
      </c>
      <c r="X159" t="s">
        <v>18</v>
      </c>
      <c r="Y159" t="s">
        <v>72</v>
      </c>
      <c r="Z159">
        <v>3.904109589041096</v>
      </c>
      <c r="AA159" t="s">
        <v>28</v>
      </c>
    </row>
    <row r="160" spans="15:27" x14ac:dyDescent="0.25">
      <c r="O160" t="s">
        <v>660</v>
      </c>
      <c r="P160" t="s">
        <v>661</v>
      </c>
      <c r="Q160" t="s">
        <v>662</v>
      </c>
      <c r="R160" t="s">
        <v>15</v>
      </c>
      <c r="S160" t="s">
        <v>58</v>
      </c>
      <c r="T160" s="33">
        <v>69709.509999999995</v>
      </c>
      <c r="U160" t="s">
        <v>26</v>
      </c>
      <c r="V160">
        <v>43472</v>
      </c>
      <c r="W160">
        <v>1</v>
      </c>
      <c r="X160" t="s">
        <v>18</v>
      </c>
      <c r="Y160" t="s">
        <v>41</v>
      </c>
      <c r="Z160">
        <v>5.4575342465753423</v>
      </c>
      <c r="AA160" t="s">
        <v>20</v>
      </c>
    </row>
    <row r="161" spans="15:27" x14ac:dyDescent="0.25">
      <c r="O161" t="s">
        <v>718</v>
      </c>
      <c r="P161" t="s">
        <v>719</v>
      </c>
      <c r="Q161" t="s">
        <v>720</v>
      </c>
      <c r="R161" t="s">
        <v>49</v>
      </c>
      <c r="S161" t="s">
        <v>101</v>
      </c>
      <c r="T161" s="33">
        <v>98012.63</v>
      </c>
      <c r="U161" t="s">
        <v>26</v>
      </c>
      <c r="V161">
        <v>43780</v>
      </c>
      <c r="W161">
        <v>1</v>
      </c>
      <c r="X161" t="s">
        <v>18</v>
      </c>
      <c r="Y161" t="s">
        <v>19</v>
      </c>
      <c r="Z161">
        <v>4.6136986301369864</v>
      </c>
      <c r="AA161" t="s">
        <v>20</v>
      </c>
    </row>
    <row r="162" spans="15:27" x14ac:dyDescent="0.25">
      <c r="O162" t="s">
        <v>691</v>
      </c>
      <c r="P162" t="s">
        <v>692</v>
      </c>
      <c r="Q162" t="s">
        <v>693</v>
      </c>
      <c r="R162" t="s">
        <v>15</v>
      </c>
      <c r="S162" t="s">
        <v>97</v>
      </c>
      <c r="T162" s="33">
        <v>28329.77</v>
      </c>
      <c r="U162" t="s">
        <v>65</v>
      </c>
      <c r="V162">
        <v>43402</v>
      </c>
      <c r="W162">
        <v>1</v>
      </c>
      <c r="X162" t="s">
        <v>18</v>
      </c>
      <c r="Y162" t="s">
        <v>27</v>
      </c>
      <c r="Z162">
        <v>5.6493150684931503</v>
      </c>
      <c r="AA162" t="s">
        <v>20</v>
      </c>
    </row>
    <row r="163" spans="15:27" x14ac:dyDescent="0.25">
      <c r="O163" t="s">
        <v>252</v>
      </c>
      <c r="P163" t="s">
        <v>253</v>
      </c>
      <c r="Q163" t="s">
        <v>254</v>
      </c>
      <c r="R163" t="s">
        <v>49</v>
      </c>
      <c r="S163" t="s">
        <v>97</v>
      </c>
      <c r="T163" s="33">
        <v>67957.899999999994</v>
      </c>
      <c r="U163" t="s">
        <v>26</v>
      </c>
      <c r="V163">
        <v>43430</v>
      </c>
      <c r="W163">
        <v>1</v>
      </c>
      <c r="X163" t="s">
        <v>18</v>
      </c>
      <c r="Y163" t="s">
        <v>84</v>
      </c>
      <c r="Z163">
        <v>5.5726027397260278</v>
      </c>
      <c r="AA163" t="s">
        <v>20</v>
      </c>
    </row>
    <row r="164" spans="15:27" x14ac:dyDescent="0.25">
      <c r="O164" t="s">
        <v>156</v>
      </c>
      <c r="P164" t="s">
        <v>157</v>
      </c>
      <c r="Q164" t="s">
        <v>158</v>
      </c>
      <c r="R164" t="s">
        <v>24</v>
      </c>
      <c r="S164" t="s">
        <v>101</v>
      </c>
      <c r="T164" s="33">
        <v>69163.39</v>
      </c>
      <c r="U164" t="s">
        <v>26</v>
      </c>
      <c r="V164">
        <v>43397</v>
      </c>
      <c r="W164">
        <v>1</v>
      </c>
      <c r="X164" t="s">
        <v>18</v>
      </c>
      <c r="Y164" t="s">
        <v>19</v>
      </c>
      <c r="Z164">
        <v>5.6630136986301371</v>
      </c>
      <c r="AA164" t="s">
        <v>20</v>
      </c>
    </row>
    <row r="165" spans="15:27" x14ac:dyDescent="0.25">
      <c r="O165" t="s">
        <v>156</v>
      </c>
      <c r="P165" t="s">
        <v>157</v>
      </c>
      <c r="Q165" t="s">
        <v>158</v>
      </c>
      <c r="R165" t="s">
        <v>24</v>
      </c>
      <c r="S165" t="s">
        <v>101</v>
      </c>
      <c r="T165" s="33">
        <v>69163.39</v>
      </c>
      <c r="U165" t="s">
        <v>26</v>
      </c>
      <c r="V165">
        <v>43397</v>
      </c>
      <c r="W165">
        <v>1</v>
      </c>
      <c r="X165" t="s">
        <v>18</v>
      </c>
      <c r="Y165" t="s">
        <v>19</v>
      </c>
      <c r="Z165">
        <v>5.6630136986301371</v>
      </c>
      <c r="AA165" t="s">
        <v>20</v>
      </c>
    </row>
    <row r="166" spans="15:27" x14ac:dyDescent="0.25">
      <c r="O166" t="s">
        <v>492</v>
      </c>
      <c r="P166" t="s">
        <v>493</v>
      </c>
      <c r="Q166" t="s">
        <v>494</v>
      </c>
      <c r="R166" t="s">
        <v>15</v>
      </c>
      <c r="S166" t="s">
        <v>105</v>
      </c>
      <c r="T166" s="33">
        <v>96753.78</v>
      </c>
      <c r="U166" t="s">
        <v>26</v>
      </c>
      <c r="V166">
        <v>44494</v>
      </c>
      <c r="W166">
        <v>1</v>
      </c>
      <c r="X166" t="s">
        <v>18</v>
      </c>
      <c r="Y166" t="s">
        <v>77</v>
      </c>
      <c r="Z166">
        <v>2.6575342465753424</v>
      </c>
      <c r="AA166" t="s">
        <v>20</v>
      </c>
    </row>
    <row r="167" spans="15:27" x14ac:dyDescent="0.25">
      <c r="O167" t="s">
        <v>492</v>
      </c>
      <c r="P167" t="s">
        <v>493</v>
      </c>
      <c r="Q167" t="s">
        <v>494</v>
      </c>
      <c r="R167" t="s">
        <v>15</v>
      </c>
      <c r="S167" t="s">
        <v>105</v>
      </c>
      <c r="T167" s="33">
        <v>96753.78</v>
      </c>
      <c r="U167" t="s">
        <v>26</v>
      </c>
      <c r="V167">
        <v>44494</v>
      </c>
      <c r="W167">
        <v>1</v>
      </c>
      <c r="X167" t="s">
        <v>18</v>
      </c>
      <c r="Y167" t="s">
        <v>77</v>
      </c>
      <c r="Z167">
        <v>2.6575342465753424</v>
      </c>
      <c r="AA167" t="s">
        <v>20</v>
      </c>
    </row>
    <row r="168" spans="15:27" x14ac:dyDescent="0.25">
      <c r="O168" t="s">
        <v>495</v>
      </c>
      <c r="P168" t="s">
        <v>496</v>
      </c>
      <c r="Q168" t="s">
        <v>497</v>
      </c>
      <c r="R168" t="s">
        <v>24</v>
      </c>
      <c r="S168" t="s">
        <v>50</v>
      </c>
      <c r="T168" s="33">
        <v>28974.03</v>
      </c>
      <c r="U168" t="s">
        <v>65</v>
      </c>
      <c r="V168">
        <v>43733</v>
      </c>
      <c r="W168">
        <v>1</v>
      </c>
      <c r="X168" t="s">
        <v>18</v>
      </c>
      <c r="Y168" t="s">
        <v>77</v>
      </c>
      <c r="Z168">
        <v>4.7424657534246579</v>
      </c>
      <c r="AA168" t="s">
        <v>20</v>
      </c>
    </row>
    <row r="169" spans="15:27" x14ac:dyDescent="0.25">
      <c r="O169" t="s">
        <v>38</v>
      </c>
      <c r="P169" t="s">
        <v>39</v>
      </c>
      <c r="Q169" t="s">
        <v>40</v>
      </c>
      <c r="R169" t="s">
        <v>24</v>
      </c>
      <c r="S169" t="s">
        <v>36</v>
      </c>
      <c r="T169" s="33">
        <v>57002.02</v>
      </c>
      <c r="U169" t="s">
        <v>26</v>
      </c>
      <c r="V169">
        <v>43192</v>
      </c>
      <c r="W169">
        <v>0.7</v>
      </c>
      <c r="X169" t="s">
        <v>18</v>
      </c>
      <c r="Y169" t="s">
        <v>41</v>
      </c>
      <c r="Z169">
        <v>6.2246575342465755</v>
      </c>
      <c r="AA169" t="s">
        <v>28</v>
      </c>
    </row>
    <row r="170" spans="15:27" x14ac:dyDescent="0.25">
      <c r="O170" t="s">
        <v>439</v>
      </c>
      <c r="P170" t="s">
        <v>440</v>
      </c>
      <c r="Q170" t="s">
        <v>441</v>
      </c>
      <c r="R170" t="s">
        <v>24</v>
      </c>
      <c r="S170" t="s">
        <v>25</v>
      </c>
      <c r="T170" s="33">
        <v>33031.26</v>
      </c>
      <c r="U170" t="s">
        <v>65</v>
      </c>
      <c r="V170">
        <v>43468</v>
      </c>
      <c r="W170">
        <v>0.4</v>
      </c>
      <c r="X170" t="s">
        <v>18</v>
      </c>
      <c r="Y170" t="s">
        <v>41</v>
      </c>
      <c r="Z170">
        <v>5.4684931506849317</v>
      </c>
      <c r="AA170" t="s">
        <v>28</v>
      </c>
    </row>
    <row r="171" spans="15:27" x14ac:dyDescent="0.25">
      <c r="O171" t="s">
        <v>231</v>
      </c>
      <c r="P171" t="s">
        <v>232</v>
      </c>
      <c r="Q171" t="s">
        <v>233</v>
      </c>
      <c r="R171" t="s">
        <v>24</v>
      </c>
      <c r="S171" t="s">
        <v>105</v>
      </c>
      <c r="T171" s="33">
        <v>84762.76</v>
      </c>
      <c r="U171" t="s">
        <v>26</v>
      </c>
      <c r="V171">
        <v>43332</v>
      </c>
      <c r="W171">
        <v>1</v>
      </c>
      <c r="X171" t="s">
        <v>18</v>
      </c>
      <c r="Y171" t="s">
        <v>41</v>
      </c>
      <c r="Z171">
        <v>5.8410958904109593</v>
      </c>
      <c r="AA171" t="s">
        <v>20</v>
      </c>
    </row>
    <row r="172" spans="15:27" x14ac:dyDescent="0.25">
      <c r="O172" t="s">
        <v>722</v>
      </c>
      <c r="P172" t="s">
        <v>723</v>
      </c>
      <c r="Q172" t="s">
        <v>724</v>
      </c>
      <c r="R172" t="s">
        <v>15</v>
      </c>
      <c r="S172" t="s">
        <v>16</v>
      </c>
      <c r="T172" s="33">
        <v>92943.89</v>
      </c>
      <c r="U172" t="s">
        <v>26</v>
      </c>
      <c r="V172">
        <v>44510</v>
      </c>
      <c r="W172">
        <v>1</v>
      </c>
      <c r="X172" t="s">
        <v>18</v>
      </c>
      <c r="Y172" t="s">
        <v>41</v>
      </c>
      <c r="Z172">
        <v>2.6136986301369864</v>
      </c>
      <c r="AA172" t="s">
        <v>20</v>
      </c>
    </row>
    <row r="173" spans="15:27" x14ac:dyDescent="0.25">
      <c r="O173" t="s">
        <v>207</v>
      </c>
      <c r="P173" t="s">
        <v>208</v>
      </c>
      <c r="Q173" t="s">
        <v>209</v>
      </c>
      <c r="R173" t="s">
        <v>24</v>
      </c>
      <c r="S173" t="s">
        <v>58</v>
      </c>
      <c r="T173" s="33">
        <v>39700.82</v>
      </c>
      <c r="U173" t="s">
        <v>65</v>
      </c>
      <c r="V173">
        <v>44203</v>
      </c>
      <c r="W173">
        <v>0.8</v>
      </c>
      <c r="X173" t="s">
        <v>18</v>
      </c>
      <c r="Y173" t="s">
        <v>84</v>
      </c>
      <c r="Z173">
        <v>3.4547945205479453</v>
      </c>
      <c r="AA173" t="s">
        <v>28</v>
      </c>
    </row>
    <row r="174" spans="15:27" x14ac:dyDescent="0.25">
      <c r="O174" t="s">
        <v>207</v>
      </c>
      <c r="P174" t="s">
        <v>592</v>
      </c>
      <c r="Q174" t="s">
        <v>731</v>
      </c>
      <c r="R174" t="s">
        <v>24</v>
      </c>
      <c r="S174" t="s">
        <v>58</v>
      </c>
      <c r="T174" s="33">
        <v>39700.82</v>
      </c>
      <c r="U174" t="s">
        <v>65</v>
      </c>
      <c r="V174">
        <v>44203</v>
      </c>
      <c r="W174">
        <v>0.8</v>
      </c>
      <c r="X174" t="s">
        <v>18</v>
      </c>
      <c r="Y174" t="s">
        <v>84</v>
      </c>
      <c r="Z174">
        <v>3.4547945205479453</v>
      </c>
      <c r="AA174" t="s">
        <v>28</v>
      </c>
    </row>
    <row r="175" spans="15:27" x14ac:dyDescent="0.25">
      <c r="O175" t="s">
        <v>377</v>
      </c>
      <c r="P175" t="s">
        <v>378</v>
      </c>
      <c r="Q175" t="s">
        <v>379</v>
      </c>
      <c r="R175" t="s">
        <v>15</v>
      </c>
      <c r="S175" t="s">
        <v>25</v>
      </c>
      <c r="T175" s="33">
        <v>39784.239999999998</v>
      </c>
      <c r="U175" t="s">
        <v>65</v>
      </c>
      <c r="V175">
        <v>43465</v>
      </c>
      <c r="W175">
        <v>1</v>
      </c>
      <c r="X175" t="s">
        <v>37</v>
      </c>
      <c r="Y175" t="s">
        <v>84</v>
      </c>
      <c r="Z175">
        <v>5.4767123287671229</v>
      </c>
      <c r="AA175" t="s">
        <v>20</v>
      </c>
    </row>
    <row r="176" spans="15:27" x14ac:dyDescent="0.25">
      <c r="O176" t="s">
        <v>554</v>
      </c>
      <c r="P176" t="s">
        <v>555</v>
      </c>
      <c r="Q176" t="s">
        <v>556</v>
      </c>
      <c r="R176" t="s">
        <v>15</v>
      </c>
      <c r="S176" t="s">
        <v>54</v>
      </c>
      <c r="T176" s="33">
        <v>31816.57</v>
      </c>
      <c r="U176" t="s">
        <v>65</v>
      </c>
      <c r="V176">
        <v>43497</v>
      </c>
      <c r="W176">
        <v>0.3</v>
      </c>
      <c r="X176" t="s">
        <v>37</v>
      </c>
      <c r="Y176" t="s">
        <v>19</v>
      </c>
      <c r="Z176">
        <v>5.3890410958904109</v>
      </c>
      <c r="AA176" t="s">
        <v>28</v>
      </c>
    </row>
    <row r="177" spans="15:27" x14ac:dyDescent="0.25">
      <c r="O177" t="s">
        <v>180</v>
      </c>
      <c r="P177" t="s">
        <v>181</v>
      </c>
      <c r="Q177" t="s">
        <v>182</v>
      </c>
      <c r="R177" t="s">
        <v>24</v>
      </c>
      <c r="S177" t="s">
        <v>124</v>
      </c>
      <c r="T177" s="33">
        <v>67818.14</v>
      </c>
      <c r="U177" t="s">
        <v>26</v>
      </c>
      <c r="V177">
        <v>43406</v>
      </c>
      <c r="W177">
        <v>0.6</v>
      </c>
      <c r="X177" t="s">
        <v>37</v>
      </c>
      <c r="Y177" t="s">
        <v>19</v>
      </c>
      <c r="Z177">
        <v>5.6383561643835618</v>
      </c>
      <c r="AA177" t="s">
        <v>28</v>
      </c>
    </row>
    <row r="178" spans="15:27" x14ac:dyDescent="0.25">
      <c r="O178" t="s">
        <v>180</v>
      </c>
      <c r="P178" t="s">
        <v>181</v>
      </c>
      <c r="Q178" t="s">
        <v>182</v>
      </c>
      <c r="R178" t="s">
        <v>24</v>
      </c>
      <c r="S178" t="s">
        <v>124</v>
      </c>
      <c r="T178" s="33">
        <v>67818.14</v>
      </c>
      <c r="U178" t="s">
        <v>26</v>
      </c>
      <c r="V178">
        <v>43406</v>
      </c>
      <c r="W178">
        <v>0.6</v>
      </c>
      <c r="X178" t="s">
        <v>37</v>
      </c>
      <c r="Y178" t="s">
        <v>19</v>
      </c>
      <c r="Z178">
        <v>5.6383561643835618</v>
      </c>
      <c r="AA178" t="s">
        <v>28</v>
      </c>
    </row>
    <row r="179" spans="15:27" x14ac:dyDescent="0.25">
      <c r="O179" t="s">
        <v>195</v>
      </c>
      <c r="P179" t="s">
        <v>196</v>
      </c>
      <c r="Q179" t="s">
        <v>197</v>
      </c>
      <c r="R179" t="s">
        <v>15</v>
      </c>
      <c r="S179" t="s">
        <v>36</v>
      </c>
      <c r="T179" s="33">
        <v>79567.69</v>
      </c>
      <c r="U179" t="s">
        <v>26</v>
      </c>
      <c r="V179">
        <v>43272</v>
      </c>
      <c r="W179">
        <v>1</v>
      </c>
      <c r="X179" t="s">
        <v>37</v>
      </c>
      <c r="Y179" t="s">
        <v>84</v>
      </c>
      <c r="Z179">
        <v>6.0054794520547947</v>
      </c>
      <c r="AA179" t="s">
        <v>20</v>
      </c>
    </row>
    <row r="180" spans="15:27" x14ac:dyDescent="0.25">
      <c r="O180" t="s">
        <v>219</v>
      </c>
      <c r="P180" t="s">
        <v>220</v>
      </c>
      <c r="Q180" t="s">
        <v>221</v>
      </c>
      <c r="R180" t="s">
        <v>15</v>
      </c>
      <c r="S180" t="s">
        <v>97</v>
      </c>
      <c r="T180" s="33">
        <v>72876.91</v>
      </c>
      <c r="U180" t="s">
        <v>26</v>
      </c>
      <c r="V180">
        <v>43612</v>
      </c>
      <c r="W180">
        <v>0.4</v>
      </c>
      <c r="X180" t="s">
        <v>37</v>
      </c>
      <c r="Y180" t="s">
        <v>77</v>
      </c>
      <c r="Z180">
        <v>5.0739726027397261</v>
      </c>
      <c r="AA180" t="s">
        <v>28</v>
      </c>
    </row>
    <row r="181" spans="15:27" x14ac:dyDescent="0.25">
      <c r="O181" t="s">
        <v>569</v>
      </c>
      <c r="P181" t="s">
        <v>570</v>
      </c>
      <c r="Q181" t="s">
        <v>571</v>
      </c>
      <c r="R181" t="s">
        <v>15</v>
      </c>
      <c r="S181" t="s">
        <v>58</v>
      </c>
      <c r="T181" s="33">
        <v>78705.929999999993</v>
      </c>
      <c r="U181" t="s">
        <v>26</v>
      </c>
      <c r="V181">
        <v>43409</v>
      </c>
      <c r="W181">
        <v>1</v>
      </c>
      <c r="X181" t="s">
        <v>37</v>
      </c>
      <c r="Y181" t="s">
        <v>27</v>
      </c>
      <c r="Z181">
        <v>5.6301369863013697</v>
      </c>
      <c r="AA181" t="s">
        <v>20</v>
      </c>
    </row>
    <row r="182" spans="15:27" x14ac:dyDescent="0.25">
      <c r="O182" t="s">
        <v>106</v>
      </c>
      <c r="P182" t="s">
        <v>107</v>
      </c>
      <c r="Q182" t="s">
        <v>108</v>
      </c>
      <c r="R182" t="s">
        <v>15</v>
      </c>
      <c r="S182" t="s">
        <v>16</v>
      </c>
      <c r="T182" s="33">
        <v>43329.22</v>
      </c>
      <c r="U182" t="s">
        <v>65</v>
      </c>
      <c r="V182">
        <v>43809</v>
      </c>
      <c r="W182">
        <v>0.5</v>
      </c>
      <c r="X182" t="s">
        <v>37</v>
      </c>
      <c r="Y182" t="s">
        <v>19</v>
      </c>
      <c r="Z182">
        <v>4.5342465753424657</v>
      </c>
      <c r="AA182" t="s">
        <v>28</v>
      </c>
    </row>
    <row r="183" spans="15:27" x14ac:dyDescent="0.25">
      <c r="O183" t="s">
        <v>303</v>
      </c>
      <c r="P183" t="s">
        <v>304</v>
      </c>
      <c r="Q183" t="s">
        <v>305</v>
      </c>
      <c r="R183" t="s">
        <v>24</v>
      </c>
      <c r="S183" t="s">
        <v>58</v>
      </c>
      <c r="T183" s="33">
        <v>99683.67</v>
      </c>
      <c r="U183" t="s">
        <v>26</v>
      </c>
      <c r="V183">
        <v>43500</v>
      </c>
      <c r="W183">
        <v>1</v>
      </c>
      <c r="X183" t="s">
        <v>37</v>
      </c>
      <c r="Y183" t="s">
        <v>27</v>
      </c>
      <c r="Z183">
        <v>5.3808219178082188</v>
      </c>
      <c r="AA183" t="s">
        <v>20</v>
      </c>
    </row>
    <row r="184" spans="15:27" x14ac:dyDescent="0.25">
      <c r="O184" t="s">
        <v>303</v>
      </c>
      <c r="P184" t="s">
        <v>304</v>
      </c>
      <c r="Q184" t="s">
        <v>305</v>
      </c>
      <c r="R184" t="s">
        <v>24</v>
      </c>
      <c r="S184" t="s">
        <v>58</v>
      </c>
      <c r="T184" s="33">
        <v>99683.67</v>
      </c>
      <c r="U184" t="s">
        <v>26</v>
      </c>
      <c r="V184">
        <v>43500</v>
      </c>
      <c r="W184">
        <v>1</v>
      </c>
      <c r="X184" t="s">
        <v>37</v>
      </c>
      <c r="Y184" t="s">
        <v>27</v>
      </c>
      <c r="Z184">
        <v>5.3808219178082188</v>
      </c>
      <c r="AA184" t="s">
        <v>20</v>
      </c>
    </row>
    <row r="185" spans="15:27" x14ac:dyDescent="0.25">
      <c r="O185" t="s">
        <v>264</v>
      </c>
      <c r="P185" t="s">
        <v>265</v>
      </c>
      <c r="Q185" t="s">
        <v>266</v>
      </c>
      <c r="R185" t="s">
        <v>15</v>
      </c>
      <c r="S185" t="s">
        <v>124</v>
      </c>
      <c r="T185" s="33">
        <v>106775.14</v>
      </c>
      <c r="U185" t="s">
        <v>17</v>
      </c>
      <c r="V185">
        <v>43563</v>
      </c>
      <c r="W185">
        <v>1</v>
      </c>
      <c r="X185" t="s">
        <v>37</v>
      </c>
      <c r="Y185" t="s">
        <v>41</v>
      </c>
      <c r="Z185">
        <v>5.2082191780821914</v>
      </c>
      <c r="AA185" t="s">
        <v>20</v>
      </c>
    </row>
    <row r="186" spans="15:27" x14ac:dyDescent="0.25">
      <c r="O186" t="s">
        <v>264</v>
      </c>
      <c r="P186" t="s">
        <v>363</v>
      </c>
      <c r="Q186" t="s">
        <v>364</v>
      </c>
      <c r="R186" t="s">
        <v>15</v>
      </c>
      <c r="S186" t="s">
        <v>124</v>
      </c>
      <c r="T186" s="33">
        <v>106775.14</v>
      </c>
      <c r="U186" t="s">
        <v>17</v>
      </c>
      <c r="V186">
        <v>43563</v>
      </c>
      <c r="W186">
        <v>1</v>
      </c>
      <c r="X186" t="s">
        <v>37</v>
      </c>
      <c r="Y186" t="s">
        <v>41</v>
      </c>
      <c r="Z186">
        <v>5.2082191780821914</v>
      </c>
      <c r="AA186" t="s">
        <v>20</v>
      </c>
    </row>
    <row r="187" spans="15:27" x14ac:dyDescent="0.25">
      <c r="O187" t="s">
        <v>539</v>
      </c>
      <c r="P187" t="s">
        <v>540</v>
      </c>
      <c r="Q187" t="s">
        <v>541</v>
      </c>
      <c r="R187" t="s">
        <v>24</v>
      </c>
      <c r="S187" t="s">
        <v>97</v>
      </c>
      <c r="T187" s="33">
        <v>73488.679999999993</v>
      </c>
      <c r="U187" t="s">
        <v>26</v>
      </c>
      <c r="V187">
        <v>43570</v>
      </c>
      <c r="W187">
        <v>1</v>
      </c>
      <c r="X187" t="s">
        <v>37</v>
      </c>
      <c r="Y187" t="s">
        <v>27</v>
      </c>
      <c r="Z187">
        <v>5.1890410958904107</v>
      </c>
      <c r="AA187" t="s">
        <v>20</v>
      </c>
    </row>
    <row r="188" spans="15:27" x14ac:dyDescent="0.25">
      <c r="O188" t="s">
        <v>383</v>
      </c>
      <c r="P188" t="s">
        <v>384</v>
      </c>
      <c r="Q188" t="s">
        <v>385</v>
      </c>
      <c r="R188" t="s">
        <v>15</v>
      </c>
      <c r="S188" t="s">
        <v>131</v>
      </c>
      <c r="T188" s="33">
        <v>72843.23</v>
      </c>
      <c r="U188" t="s">
        <v>26</v>
      </c>
      <c r="V188">
        <v>43280</v>
      </c>
      <c r="W188">
        <v>1</v>
      </c>
      <c r="X188" t="s">
        <v>37</v>
      </c>
      <c r="Y188" t="s">
        <v>45</v>
      </c>
      <c r="Z188">
        <v>5.9835616438356167</v>
      </c>
      <c r="AA188" t="s">
        <v>20</v>
      </c>
    </row>
    <row r="189" spans="15:27" x14ac:dyDescent="0.25">
      <c r="O189" t="s">
        <v>576</v>
      </c>
      <c r="P189" t="s">
        <v>238</v>
      </c>
      <c r="Q189" t="s">
        <v>577</v>
      </c>
      <c r="R189" t="s">
        <v>24</v>
      </c>
      <c r="S189" t="s">
        <v>124</v>
      </c>
      <c r="T189" s="33">
        <v>91929.69</v>
      </c>
      <c r="U189" t="s">
        <v>26</v>
      </c>
      <c r="V189">
        <v>44085</v>
      </c>
      <c r="W189">
        <v>1</v>
      </c>
      <c r="X189" t="s">
        <v>37</v>
      </c>
      <c r="Y189" t="s">
        <v>19</v>
      </c>
      <c r="Z189">
        <v>3.7780821917808218</v>
      </c>
      <c r="AA189" t="s">
        <v>20</v>
      </c>
    </row>
    <row r="190" spans="15:27" x14ac:dyDescent="0.25">
      <c r="O190" t="s">
        <v>542</v>
      </c>
      <c r="P190" t="s">
        <v>543</v>
      </c>
      <c r="Q190" t="s">
        <v>544</v>
      </c>
      <c r="R190" t="s">
        <v>24</v>
      </c>
      <c r="S190" t="s">
        <v>97</v>
      </c>
      <c r="T190" s="33">
        <v>92704.48</v>
      </c>
      <c r="U190" t="s">
        <v>26</v>
      </c>
      <c r="V190">
        <v>43430</v>
      </c>
      <c r="W190">
        <v>1</v>
      </c>
      <c r="X190" t="s">
        <v>37</v>
      </c>
      <c r="Y190" t="s">
        <v>72</v>
      </c>
      <c r="Z190">
        <v>5.5726027397260278</v>
      </c>
      <c r="AA190" t="s">
        <v>20</v>
      </c>
    </row>
    <row r="191" spans="15:27" x14ac:dyDescent="0.25">
      <c r="O191" t="s">
        <v>153</v>
      </c>
      <c r="P191" t="s">
        <v>154</v>
      </c>
      <c r="Q191" t="s">
        <v>155</v>
      </c>
      <c r="R191" t="s">
        <v>24</v>
      </c>
      <c r="S191" t="s">
        <v>50</v>
      </c>
      <c r="T191" s="33">
        <v>100371.31</v>
      </c>
      <c r="U191" t="s">
        <v>17</v>
      </c>
      <c r="V191">
        <v>44067</v>
      </c>
      <c r="W191">
        <v>0.8</v>
      </c>
      <c r="X191" t="s">
        <v>37</v>
      </c>
      <c r="Y191" t="s">
        <v>77</v>
      </c>
      <c r="Z191">
        <v>3.8273972602739725</v>
      </c>
      <c r="AA191" t="s">
        <v>28</v>
      </c>
    </row>
    <row r="192" spans="15:27" x14ac:dyDescent="0.25">
      <c r="O192" t="s">
        <v>694</v>
      </c>
      <c r="P192" t="s">
        <v>695</v>
      </c>
      <c r="Q192" t="s">
        <v>696</v>
      </c>
      <c r="R192" t="s">
        <v>24</v>
      </c>
      <c r="S192" t="s">
        <v>36</v>
      </c>
      <c r="T192" s="33">
        <v>93964.3</v>
      </c>
      <c r="U192" t="s">
        <v>26</v>
      </c>
      <c r="V192">
        <v>44454</v>
      </c>
      <c r="W192">
        <v>0.4</v>
      </c>
      <c r="X192" t="s">
        <v>37</v>
      </c>
      <c r="Y192" t="s">
        <v>41</v>
      </c>
      <c r="Z192">
        <v>2.7671232876712328</v>
      </c>
      <c r="AA192" t="s">
        <v>28</v>
      </c>
    </row>
    <row r="193" spans="15:27" x14ac:dyDescent="0.25">
      <c r="O193" t="s">
        <v>237</v>
      </c>
      <c r="P193" t="s">
        <v>238</v>
      </c>
      <c r="Q193" t="s">
        <v>239</v>
      </c>
      <c r="R193" t="s">
        <v>49</v>
      </c>
      <c r="S193" t="s">
        <v>97</v>
      </c>
      <c r="T193" s="33">
        <v>99448.78</v>
      </c>
      <c r="U193" t="s">
        <v>26</v>
      </c>
      <c r="V193">
        <v>43473</v>
      </c>
      <c r="W193">
        <v>1</v>
      </c>
      <c r="X193" t="s">
        <v>37</v>
      </c>
      <c r="Y193" t="s">
        <v>45</v>
      </c>
      <c r="Z193">
        <v>5.4547945205479449</v>
      </c>
      <c r="AA193" t="s">
        <v>20</v>
      </c>
    </row>
    <row r="194" spans="15:27" x14ac:dyDescent="0.25">
      <c r="O194" t="s">
        <v>237</v>
      </c>
      <c r="P194" t="s">
        <v>238</v>
      </c>
      <c r="Q194" t="s">
        <v>239</v>
      </c>
      <c r="R194" t="s">
        <v>49</v>
      </c>
      <c r="S194" t="s">
        <v>97</v>
      </c>
      <c r="T194" s="33">
        <v>99448.78</v>
      </c>
      <c r="U194" t="s">
        <v>26</v>
      </c>
      <c r="V194">
        <v>43473</v>
      </c>
      <c r="W194">
        <v>1</v>
      </c>
      <c r="X194" t="s">
        <v>37</v>
      </c>
      <c r="Y194" t="s">
        <v>45</v>
      </c>
      <c r="Z194">
        <v>5.4547945205479449</v>
      </c>
      <c r="AA194" t="s">
        <v>20</v>
      </c>
    </row>
    <row r="195" spans="15:27" x14ac:dyDescent="0.25">
      <c r="O195" t="s">
        <v>475</v>
      </c>
      <c r="P195" t="s">
        <v>476</v>
      </c>
      <c r="Q195" t="s">
        <v>477</v>
      </c>
      <c r="R195" t="s">
        <v>15</v>
      </c>
      <c r="S195" t="s">
        <v>25</v>
      </c>
      <c r="T195" s="33">
        <v>69764.100000000006</v>
      </c>
      <c r="U195" t="s">
        <v>26</v>
      </c>
      <c r="V195">
        <v>44195</v>
      </c>
      <c r="W195">
        <v>1</v>
      </c>
      <c r="X195" t="s">
        <v>37</v>
      </c>
      <c r="Y195" t="s">
        <v>27</v>
      </c>
      <c r="Z195">
        <v>3.4767123287671233</v>
      </c>
      <c r="AA195" t="s">
        <v>20</v>
      </c>
    </row>
    <row r="196" spans="15:27" x14ac:dyDescent="0.25">
      <c r="O196" t="s">
        <v>300</v>
      </c>
      <c r="P196" t="s">
        <v>301</v>
      </c>
      <c r="Q196" t="s">
        <v>302</v>
      </c>
      <c r="R196" t="s">
        <v>24</v>
      </c>
      <c r="S196" t="s">
        <v>50</v>
      </c>
      <c r="T196" s="33">
        <v>104038.9</v>
      </c>
      <c r="U196" t="s">
        <v>17</v>
      </c>
      <c r="V196">
        <v>43815</v>
      </c>
      <c r="W196">
        <v>1</v>
      </c>
      <c r="X196" t="s">
        <v>37</v>
      </c>
      <c r="Y196" t="s">
        <v>19</v>
      </c>
      <c r="Z196">
        <v>4.5178082191780824</v>
      </c>
      <c r="AA196" t="s">
        <v>20</v>
      </c>
    </row>
    <row r="197" spans="15:27" x14ac:dyDescent="0.25">
      <c r="O197" t="s">
        <v>732</v>
      </c>
      <c r="P197" t="s">
        <v>733</v>
      </c>
      <c r="Q197" t="s">
        <v>734</v>
      </c>
      <c r="R197" t="s">
        <v>24</v>
      </c>
      <c r="S197" t="s">
        <v>131</v>
      </c>
      <c r="T197" s="33">
        <v>31089.22</v>
      </c>
      <c r="U197" t="s">
        <v>65</v>
      </c>
      <c r="V197">
        <v>43776</v>
      </c>
      <c r="W197">
        <v>1</v>
      </c>
      <c r="X197" t="s">
        <v>37</v>
      </c>
      <c r="Y197" t="s">
        <v>84</v>
      </c>
      <c r="Z197">
        <v>4.624657534246575</v>
      </c>
      <c r="AA197" t="s">
        <v>20</v>
      </c>
    </row>
    <row r="198" spans="15:27" x14ac:dyDescent="0.25">
      <c r="O198" t="s">
        <v>587</v>
      </c>
      <c r="P198" t="s">
        <v>588</v>
      </c>
      <c r="Q198" t="s">
        <v>589</v>
      </c>
      <c r="R198" t="s">
        <v>15</v>
      </c>
      <c r="S198" t="s">
        <v>16</v>
      </c>
      <c r="T198" s="33">
        <v>53184.02</v>
      </c>
      <c r="U198" t="s">
        <v>26</v>
      </c>
      <c r="V198">
        <v>43180</v>
      </c>
      <c r="W198">
        <v>1</v>
      </c>
      <c r="X198" t="s">
        <v>37</v>
      </c>
      <c r="Y198" t="s">
        <v>19</v>
      </c>
      <c r="Z198">
        <v>6.2575342465753421</v>
      </c>
      <c r="AA198" t="s">
        <v>20</v>
      </c>
    </row>
    <row r="199" spans="15:27" x14ac:dyDescent="0.25">
      <c r="O199" t="s">
        <v>636</v>
      </c>
      <c r="P199" t="s">
        <v>637</v>
      </c>
      <c r="Q199" t="s">
        <v>638</v>
      </c>
      <c r="R199" t="s">
        <v>24</v>
      </c>
      <c r="S199" t="s">
        <v>124</v>
      </c>
      <c r="T199" s="33">
        <v>49625.64</v>
      </c>
      <c r="U199" t="s">
        <v>65</v>
      </c>
      <c r="V199">
        <v>44384</v>
      </c>
      <c r="W199">
        <v>0.5</v>
      </c>
      <c r="X199" t="s">
        <v>37</v>
      </c>
      <c r="Y199" t="s">
        <v>19</v>
      </c>
      <c r="Z199">
        <v>2.9589041095890409</v>
      </c>
      <c r="AA199" t="s">
        <v>28</v>
      </c>
    </row>
    <row r="200" spans="15:27" x14ac:dyDescent="0.25">
      <c r="O200" t="s">
        <v>463</v>
      </c>
      <c r="P200" t="s">
        <v>464</v>
      </c>
      <c r="Q200" t="s">
        <v>465</v>
      </c>
      <c r="R200" t="s">
        <v>15</v>
      </c>
      <c r="S200" t="s">
        <v>32</v>
      </c>
      <c r="T200" s="33">
        <v>47646.95</v>
      </c>
      <c r="U200" t="s">
        <v>65</v>
      </c>
      <c r="V200">
        <v>43791</v>
      </c>
      <c r="W200">
        <v>0.3</v>
      </c>
      <c r="X200" t="s">
        <v>37</v>
      </c>
      <c r="Y200" t="s">
        <v>84</v>
      </c>
      <c r="Z200">
        <v>4.5835616438356164</v>
      </c>
      <c r="AA200" t="s">
        <v>28</v>
      </c>
    </row>
    <row r="201" spans="15:27" x14ac:dyDescent="0.25">
      <c r="O201" t="s">
        <v>615</v>
      </c>
      <c r="P201" t="s">
        <v>247</v>
      </c>
      <c r="Q201" t="s">
        <v>616</v>
      </c>
      <c r="R201" t="s">
        <v>15</v>
      </c>
      <c r="S201" t="s">
        <v>124</v>
      </c>
      <c r="T201" s="33">
        <v>89960.6</v>
      </c>
      <c r="U201" t="s">
        <v>26</v>
      </c>
      <c r="V201">
        <v>43515</v>
      </c>
      <c r="W201">
        <v>1</v>
      </c>
      <c r="X201" t="s">
        <v>37</v>
      </c>
      <c r="Y201" t="s">
        <v>77</v>
      </c>
      <c r="Z201">
        <v>5.3397260273972602</v>
      </c>
      <c r="AA201" t="s">
        <v>20</v>
      </c>
    </row>
    <row r="202" spans="15:27" x14ac:dyDescent="0.25">
      <c r="O202" t="s">
        <v>710</v>
      </c>
      <c r="P202" t="s">
        <v>711</v>
      </c>
      <c r="Q202" t="s">
        <v>712</v>
      </c>
      <c r="R202" t="s">
        <v>15</v>
      </c>
      <c r="S202" t="s">
        <v>105</v>
      </c>
      <c r="T202" s="33">
        <v>91314.75</v>
      </c>
      <c r="U202" t="s">
        <v>26</v>
      </c>
      <c r="V202">
        <v>43931</v>
      </c>
      <c r="W202">
        <v>1</v>
      </c>
      <c r="X202" t="s">
        <v>37</v>
      </c>
      <c r="Y202" t="s">
        <v>27</v>
      </c>
      <c r="Z202">
        <v>4.2</v>
      </c>
      <c r="AA202" t="s">
        <v>20</v>
      </c>
    </row>
    <row r="203" spans="15:27" x14ac:dyDescent="0.25">
      <c r="O203" t="s">
        <v>62</v>
      </c>
      <c r="P203" t="s">
        <v>63</v>
      </c>
      <c r="Q203" t="s">
        <v>64</v>
      </c>
      <c r="R203" t="s">
        <v>24</v>
      </c>
      <c r="S203" t="s">
        <v>32</v>
      </c>
      <c r="T203" s="33">
        <v>42314.39</v>
      </c>
      <c r="U203" t="s">
        <v>65</v>
      </c>
      <c r="V203">
        <v>44487</v>
      </c>
      <c r="W203">
        <v>1</v>
      </c>
      <c r="X203" t="s">
        <v>37</v>
      </c>
      <c r="Y203" t="s">
        <v>19</v>
      </c>
      <c r="Z203">
        <v>2.6767123287671235</v>
      </c>
      <c r="AA203" t="s">
        <v>20</v>
      </c>
    </row>
    <row r="204" spans="15:27" x14ac:dyDescent="0.25">
      <c r="O204" t="s">
        <v>478</v>
      </c>
      <c r="P204" t="s">
        <v>479</v>
      </c>
      <c r="Q204" t="s">
        <v>480</v>
      </c>
      <c r="R204" t="s">
        <v>24</v>
      </c>
      <c r="S204" t="s">
        <v>105</v>
      </c>
      <c r="T204" s="33">
        <v>84598.88</v>
      </c>
      <c r="U204" t="s">
        <v>26</v>
      </c>
      <c r="V204">
        <v>44116</v>
      </c>
      <c r="W204">
        <v>1</v>
      </c>
      <c r="X204" t="s">
        <v>37</v>
      </c>
      <c r="Y204" t="s">
        <v>27</v>
      </c>
      <c r="Z204">
        <v>3.6931506849315068</v>
      </c>
      <c r="AA204" t="s">
        <v>20</v>
      </c>
    </row>
    <row r="205" spans="15:27" x14ac:dyDescent="0.25">
      <c r="O205" t="s">
        <v>478</v>
      </c>
      <c r="P205" t="s">
        <v>479</v>
      </c>
      <c r="Q205" t="s">
        <v>480</v>
      </c>
      <c r="R205" t="s">
        <v>24</v>
      </c>
      <c r="S205" t="s">
        <v>105</v>
      </c>
      <c r="T205" s="33">
        <v>84598.88</v>
      </c>
      <c r="U205" t="s">
        <v>26</v>
      </c>
      <c r="V205">
        <v>44116</v>
      </c>
      <c r="W205">
        <v>1</v>
      </c>
      <c r="X205" t="s">
        <v>37</v>
      </c>
      <c r="Y205" t="s">
        <v>27</v>
      </c>
      <c r="Z205">
        <v>3.6931506849315068</v>
      </c>
      <c r="AA205" t="s">
        <v>20</v>
      </c>
    </row>
    <row r="206" spans="15:27" x14ac:dyDescent="0.25">
      <c r="O206" t="s">
        <v>545</v>
      </c>
      <c r="P206" t="s">
        <v>546</v>
      </c>
      <c r="Q206" t="s">
        <v>547</v>
      </c>
      <c r="R206" t="s">
        <v>15</v>
      </c>
      <c r="S206" t="s">
        <v>16</v>
      </c>
      <c r="T206" s="33">
        <v>78443.78</v>
      </c>
      <c r="U206" t="s">
        <v>26</v>
      </c>
      <c r="V206">
        <v>43599</v>
      </c>
      <c r="W206">
        <v>1</v>
      </c>
      <c r="X206" t="s">
        <v>37</v>
      </c>
      <c r="Y206" t="s">
        <v>41</v>
      </c>
      <c r="Z206">
        <v>5.1095890410958908</v>
      </c>
      <c r="AA206" t="s">
        <v>20</v>
      </c>
    </row>
    <row r="207" spans="15:27" x14ac:dyDescent="0.25">
      <c r="O207" t="s">
        <v>663</v>
      </c>
      <c r="P207" t="s">
        <v>664</v>
      </c>
      <c r="Q207" t="s">
        <v>665</v>
      </c>
      <c r="R207" t="s">
        <v>24</v>
      </c>
      <c r="S207" t="s">
        <v>58</v>
      </c>
      <c r="T207" s="33">
        <v>46751.7</v>
      </c>
      <c r="U207" t="s">
        <v>65</v>
      </c>
      <c r="V207">
        <v>43843</v>
      </c>
      <c r="W207">
        <v>1</v>
      </c>
      <c r="X207" t="s">
        <v>37</v>
      </c>
      <c r="Y207" t="s">
        <v>41</v>
      </c>
      <c r="Z207">
        <v>4.441095890410959</v>
      </c>
      <c r="AA207" t="s">
        <v>20</v>
      </c>
    </row>
    <row r="208" spans="15:27" x14ac:dyDescent="0.25">
      <c r="O208" t="s">
        <v>177</v>
      </c>
      <c r="P208" t="s">
        <v>178</v>
      </c>
      <c r="Q208" t="s">
        <v>179</v>
      </c>
      <c r="R208" t="s">
        <v>15</v>
      </c>
      <c r="S208" t="s">
        <v>101</v>
      </c>
      <c r="T208" s="33">
        <v>57419.35</v>
      </c>
      <c r="U208" t="s">
        <v>26</v>
      </c>
      <c r="V208">
        <v>43305</v>
      </c>
      <c r="W208">
        <v>1</v>
      </c>
      <c r="X208" t="s">
        <v>37</v>
      </c>
      <c r="Y208" t="s">
        <v>77</v>
      </c>
      <c r="Z208">
        <v>5.9150684931506845</v>
      </c>
      <c r="AA208" t="s">
        <v>20</v>
      </c>
    </row>
    <row r="209" spans="15:27" x14ac:dyDescent="0.25">
      <c r="O209" t="s">
        <v>472</v>
      </c>
      <c r="P209" t="s">
        <v>473</v>
      </c>
      <c r="Q209" t="s">
        <v>474</v>
      </c>
      <c r="R209" t="s">
        <v>15</v>
      </c>
      <c r="S209" t="s">
        <v>50</v>
      </c>
      <c r="T209" s="33">
        <v>95017.1</v>
      </c>
      <c r="U209" t="s">
        <v>26</v>
      </c>
      <c r="V209">
        <v>43283</v>
      </c>
      <c r="W209">
        <v>1</v>
      </c>
      <c r="X209" t="s">
        <v>37</v>
      </c>
      <c r="Y209" t="s">
        <v>27</v>
      </c>
      <c r="Z209">
        <v>5.9753424657534246</v>
      </c>
      <c r="AA209" t="s">
        <v>20</v>
      </c>
    </row>
    <row r="210" spans="15:27" x14ac:dyDescent="0.25">
      <c r="O210" t="s">
        <v>572</v>
      </c>
      <c r="P210" t="s">
        <v>573</v>
      </c>
      <c r="Q210" t="s">
        <v>574</v>
      </c>
      <c r="R210" t="s">
        <v>15</v>
      </c>
      <c r="S210" t="s">
        <v>54</v>
      </c>
      <c r="T210" s="33">
        <v>53535.62</v>
      </c>
      <c r="U210" t="s">
        <v>26</v>
      </c>
      <c r="V210">
        <v>44110</v>
      </c>
      <c r="W210">
        <v>0.5</v>
      </c>
      <c r="X210" t="s">
        <v>37</v>
      </c>
      <c r="Y210" t="s">
        <v>27</v>
      </c>
      <c r="Z210">
        <v>3.7095890410958905</v>
      </c>
      <c r="AA210" t="s">
        <v>28</v>
      </c>
    </row>
    <row r="211" spans="15:27" x14ac:dyDescent="0.25">
      <c r="O211" t="s">
        <v>222</v>
      </c>
      <c r="P211" t="s">
        <v>223</v>
      </c>
      <c r="Q211" t="s">
        <v>224</v>
      </c>
      <c r="R211" t="s">
        <v>24</v>
      </c>
      <c r="S211" t="s">
        <v>131</v>
      </c>
      <c r="T211" s="33">
        <v>31042.51</v>
      </c>
      <c r="U211" t="s">
        <v>65</v>
      </c>
      <c r="V211">
        <v>44473</v>
      </c>
      <c r="W211">
        <v>0.3</v>
      </c>
      <c r="X211" t="s">
        <v>37</v>
      </c>
      <c r="Y211" t="s">
        <v>19</v>
      </c>
      <c r="Z211">
        <v>2.7150684931506848</v>
      </c>
      <c r="AA211" t="s">
        <v>28</v>
      </c>
    </row>
    <row r="212" spans="15:27" x14ac:dyDescent="0.25">
      <c r="O212" t="s">
        <v>498</v>
      </c>
      <c r="P212" t="s">
        <v>499</v>
      </c>
      <c r="Q212" t="s">
        <v>500</v>
      </c>
      <c r="R212" t="s">
        <v>24</v>
      </c>
      <c r="S212" t="s">
        <v>25</v>
      </c>
      <c r="T212" s="33">
        <v>86233.83</v>
      </c>
      <c r="U212" t="s">
        <v>26</v>
      </c>
      <c r="V212">
        <v>43706</v>
      </c>
      <c r="W212">
        <v>1</v>
      </c>
      <c r="X212" t="s">
        <v>37</v>
      </c>
      <c r="Y212" t="s">
        <v>84</v>
      </c>
      <c r="Z212">
        <v>4.816438356164384</v>
      </c>
      <c r="AA212" t="s">
        <v>20</v>
      </c>
    </row>
    <row r="213" spans="15:27" x14ac:dyDescent="0.25">
      <c r="O213" t="s">
        <v>288</v>
      </c>
      <c r="P213" t="s">
        <v>289</v>
      </c>
      <c r="Q213" t="s">
        <v>290</v>
      </c>
      <c r="R213" t="s">
        <v>24</v>
      </c>
      <c r="S213" t="s">
        <v>25</v>
      </c>
      <c r="T213" s="33">
        <v>86558.58</v>
      </c>
      <c r="U213" t="s">
        <v>26</v>
      </c>
      <c r="V213">
        <v>43887</v>
      </c>
      <c r="W213">
        <v>1</v>
      </c>
      <c r="X213" t="s">
        <v>37</v>
      </c>
      <c r="Y213" t="s">
        <v>19</v>
      </c>
      <c r="Z213">
        <v>4.3205479452054796</v>
      </c>
      <c r="AA213" t="s">
        <v>20</v>
      </c>
    </row>
    <row r="214" spans="15:27" x14ac:dyDescent="0.25">
      <c r="O214" t="s">
        <v>398</v>
      </c>
      <c r="P214" t="s">
        <v>399</v>
      </c>
      <c r="Q214" t="s">
        <v>400</v>
      </c>
      <c r="R214" t="s">
        <v>24</v>
      </c>
      <c r="S214" t="s">
        <v>101</v>
      </c>
      <c r="T214" s="33">
        <v>76303.820000000007</v>
      </c>
      <c r="U214" t="s">
        <v>26</v>
      </c>
      <c r="V214">
        <v>43458</v>
      </c>
      <c r="W214">
        <v>1</v>
      </c>
      <c r="X214" t="s">
        <v>37</v>
      </c>
      <c r="Y214" t="s">
        <v>41</v>
      </c>
      <c r="Z214">
        <v>5.4958904109589044</v>
      </c>
      <c r="AA214" t="s">
        <v>20</v>
      </c>
    </row>
    <row r="215" spans="15:27" x14ac:dyDescent="0.25">
      <c r="O215" t="s">
        <v>398</v>
      </c>
      <c r="P215" t="s">
        <v>531</v>
      </c>
      <c r="Q215" t="s">
        <v>532</v>
      </c>
      <c r="R215" t="s">
        <v>24</v>
      </c>
      <c r="S215" t="s">
        <v>101</v>
      </c>
      <c r="T215" s="33">
        <v>76303.820000000007</v>
      </c>
      <c r="U215" t="s">
        <v>26</v>
      </c>
      <c r="V215">
        <v>43458</v>
      </c>
      <c r="W215">
        <v>1</v>
      </c>
      <c r="X215" t="s">
        <v>37</v>
      </c>
      <c r="Y215" t="s">
        <v>41</v>
      </c>
      <c r="Z215">
        <v>5.4958904109589044</v>
      </c>
      <c r="AA215" t="s">
        <v>20</v>
      </c>
    </row>
    <row r="216" spans="15:27" x14ac:dyDescent="0.25">
      <c r="O216" t="s">
        <v>297</v>
      </c>
      <c r="P216" t="s">
        <v>298</v>
      </c>
      <c r="Q216" t="s">
        <v>299</v>
      </c>
      <c r="R216" t="s">
        <v>24</v>
      </c>
      <c r="S216" t="s">
        <v>36</v>
      </c>
      <c r="T216" s="33">
        <v>101187.36</v>
      </c>
      <c r="U216" t="s">
        <v>17</v>
      </c>
      <c r="V216">
        <v>43258</v>
      </c>
      <c r="W216">
        <v>1</v>
      </c>
      <c r="X216" t="s">
        <v>37</v>
      </c>
      <c r="Y216" t="s">
        <v>72</v>
      </c>
      <c r="Z216">
        <v>6.043835616438356</v>
      </c>
      <c r="AA216" t="s">
        <v>20</v>
      </c>
    </row>
    <row r="217" spans="15:27" x14ac:dyDescent="0.25">
      <c r="O217" t="s">
        <v>516</v>
      </c>
      <c r="P217" t="s">
        <v>517</v>
      </c>
      <c r="Q217" t="s">
        <v>518</v>
      </c>
      <c r="R217" t="s">
        <v>15</v>
      </c>
      <c r="S217" t="s">
        <v>16</v>
      </c>
      <c r="T217" s="33">
        <v>61624.77</v>
      </c>
      <c r="U217" t="s">
        <v>26</v>
      </c>
      <c r="V217">
        <v>43430</v>
      </c>
      <c r="W217">
        <v>0.3</v>
      </c>
      <c r="X217" t="s">
        <v>37</v>
      </c>
      <c r="Y217" t="s">
        <v>41</v>
      </c>
      <c r="Z217">
        <v>5.5726027397260278</v>
      </c>
      <c r="AA217" t="s">
        <v>28</v>
      </c>
    </row>
    <row r="218" spans="15:27" x14ac:dyDescent="0.25">
      <c r="O218" t="s">
        <v>165</v>
      </c>
      <c r="P218" t="s">
        <v>166</v>
      </c>
      <c r="Q218" t="s">
        <v>167</v>
      </c>
      <c r="R218" t="s">
        <v>24</v>
      </c>
      <c r="S218" t="s">
        <v>32</v>
      </c>
      <c r="T218" s="33">
        <v>31172.77</v>
      </c>
      <c r="U218" t="s">
        <v>65</v>
      </c>
      <c r="V218">
        <v>43665</v>
      </c>
      <c r="W218">
        <v>1</v>
      </c>
      <c r="X218" t="s">
        <v>37</v>
      </c>
      <c r="Y218" t="s">
        <v>19</v>
      </c>
      <c r="Z218">
        <v>4.9287671232876713</v>
      </c>
      <c r="AA218" t="s">
        <v>20</v>
      </c>
    </row>
    <row r="219" spans="15:27" x14ac:dyDescent="0.25">
      <c r="O219" t="s">
        <v>599</v>
      </c>
      <c r="P219" t="s">
        <v>600</v>
      </c>
      <c r="Q219" t="s">
        <v>601</v>
      </c>
      <c r="R219" t="s">
        <v>15</v>
      </c>
      <c r="S219" t="s">
        <v>101</v>
      </c>
      <c r="T219" s="33">
        <v>102515.81</v>
      </c>
      <c r="U219" t="s">
        <v>17</v>
      </c>
      <c r="V219">
        <v>43902</v>
      </c>
      <c r="W219">
        <v>1</v>
      </c>
      <c r="X219" t="s">
        <v>37</v>
      </c>
      <c r="Y219" t="s">
        <v>84</v>
      </c>
      <c r="Z219">
        <v>4.279452054794521</v>
      </c>
      <c r="AA219" t="s">
        <v>20</v>
      </c>
    </row>
    <row r="220" spans="15:27" x14ac:dyDescent="0.25">
      <c r="O220" t="s">
        <v>33</v>
      </c>
      <c r="P220" t="s">
        <v>34</v>
      </c>
      <c r="Q220" t="s">
        <v>35</v>
      </c>
      <c r="R220" t="s">
        <v>24</v>
      </c>
      <c r="S220" t="s">
        <v>36</v>
      </c>
      <c r="T220" s="33">
        <v>93128.34</v>
      </c>
      <c r="U220" t="s">
        <v>26</v>
      </c>
      <c r="V220">
        <v>43164</v>
      </c>
      <c r="W220">
        <v>1</v>
      </c>
      <c r="X220" t="s">
        <v>37</v>
      </c>
      <c r="Y220" t="s">
        <v>27</v>
      </c>
      <c r="Z220">
        <v>6.3013698630136989</v>
      </c>
      <c r="AA220" t="s">
        <v>20</v>
      </c>
    </row>
    <row r="221" spans="15:27" x14ac:dyDescent="0.25">
      <c r="O221" t="s">
        <v>330</v>
      </c>
      <c r="P221" t="s">
        <v>331</v>
      </c>
      <c r="Q221" t="s">
        <v>332</v>
      </c>
      <c r="R221" t="s">
        <v>15</v>
      </c>
      <c r="S221" t="s">
        <v>36</v>
      </c>
      <c r="T221" s="33">
        <v>112778.28</v>
      </c>
      <c r="U221" t="s">
        <v>17</v>
      </c>
      <c r="V221">
        <v>43250</v>
      </c>
      <c r="W221">
        <v>1</v>
      </c>
      <c r="X221" t="s">
        <v>37</v>
      </c>
      <c r="Y221" t="s">
        <v>19</v>
      </c>
      <c r="Z221">
        <v>6.065753424657534</v>
      </c>
      <c r="AA221" t="s">
        <v>20</v>
      </c>
    </row>
    <row r="222" spans="15:27" x14ac:dyDescent="0.25">
      <c r="O222" t="s">
        <v>330</v>
      </c>
      <c r="P222" t="s">
        <v>331</v>
      </c>
      <c r="Q222" t="s">
        <v>332</v>
      </c>
      <c r="R222" t="s">
        <v>15</v>
      </c>
      <c r="S222" t="s">
        <v>36</v>
      </c>
      <c r="T222" s="33">
        <v>112778.28</v>
      </c>
      <c r="U222" t="s">
        <v>17</v>
      </c>
      <c r="V222">
        <v>43250</v>
      </c>
      <c r="W222">
        <v>1</v>
      </c>
      <c r="X222" t="s">
        <v>37</v>
      </c>
      <c r="Y222" t="s">
        <v>19</v>
      </c>
      <c r="Z222">
        <v>6.065753424657534</v>
      </c>
      <c r="AA222" t="s">
        <v>20</v>
      </c>
    </row>
    <row r="223" spans="15:27" x14ac:dyDescent="0.25">
      <c r="O223" t="s">
        <v>677</v>
      </c>
      <c r="P223" t="s">
        <v>678</v>
      </c>
      <c r="Q223" t="s">
        <v>679</v>
      </c>
      <c r="R223" t="s">
        <v>15</v>
      </c>
      <c r="S223" t="s">
        <v>97</v>
      </c>
      <c r="T223" s="33">
        <v>65569.36</v>
      </c>
      <c r="U223" t="s">
        <v>26</v>
      </c>
      <c r="V223">
        <v>43293</v>
      </c>
      <c r="W223">
        <v>1</v>
      </c>
      <c r="X223" t="s">
        <v>37</v>
      </c>
      <c r="Y223" t="s">
        <v>77</v>
      </c>
      <c r="Z223">
        <v>5.9479452054794519</v>
      </c>
      <c r="AA223" t="s">
        <v>20</v>
      </c>
    </row>
    <row r="224" spans="15:27" x14ac:dyDescent="0.25">
      <c r="O224" t="s">
        <v>249</v>
      </c>
      <c r="P224" t="s">
        <v>250</v>
      </c>
      <c r="Q224" t="s">
        <v>251</v>
      </c>
      <c r="R224" t="s">
        <v>24</v>
      </c>
      <c r="S224" t="s">
        <v>16</v>
      </c>
      <c r="T224" s="33">
        <v>51165.37</v>
      </c>
      <c r="U224" t="s">
        <v>26</v>
      </c>
      <c r="V224">
        <v>44237</v>
      </c>
      <c r="W224">
        <v>1</v>
      </c>
      <c r="X224" t="s">
        <v>37</v>
      </c>
      <c r="Y224" t="s">
        <v>41</v>
      </c>
      <c r="Z224">
        <v>3.3616438356164382</v>
      </c>
      <c r="AA224" t="s">
        <v>20</v>
      </c>
    </row>
    <row r="225" spans="15:27" x14ac:dyDescent="0.25">
      <c r="O225" t="s">
        <v>228</v>
      </c>
      <c r="P225" t="s">
        <v>229</v>
      </c>
      <c r="Q225" t="s">
        <v>230</v>
      </c>
      <c r="R225" t="s">
        <v>24</v>
      </c>
      <c r="S225" t="s">
        <v>58</v>
      </c>
      <c r="T225" s="33">
        <v>59434.18</v>
      </c>
      <c r="U225" t="s">
        <v>26</v>
      </c>
      <c r="V225">
        <v>43931</v>
      </c>
      <c r="W225">
        <v>1</v>
      </c>
      <c r="X225" t="s">
        <v>76</v>
      </c>
      <c r="Y225" t="s">
        <v>27</v>
      </c>
      <c r="Z225">
        <v>4.2</v>
      </c>
      <c r="AA225" t="s">
        <v>20</v>
      </c>
    </row>
    <row r="226" spans="15:27" x14ac:dyDescent="0.25">
      <c r="O226" t="s">
        <v>144</v>
      </c>
      <c r="P226" t="s">
        <v>145</v>
      </c>
      <c r="Q226" t="s">
        <v>146</v>
      </c>
      <c r="R226" t="s">
        <v>15</v>
      </c>
      <c r="S226" t="s">
        <v>36</v>
      </c>
      <c r="T226" s="33">
        <v>53949.26</v>
      </c>
      <c r="U226" t="s">
        <v>26</v>
      </c>
      <c r="V226">
        <v>43808</v>
      </c>
      <c r="W226">
        <v>1</v>
      </c>
      <c r="X226" t="s">
        <v>76</v>
      </c>
      <c r="Y226" t="s">
        <v>72</v>
      </c>
      <c r="Z226">
        <v>4.536986301369863</v>
      </c>
      <c r="AA226" t="s">
        <v>20</v>
      </c>
    </row>
    <row r="227" spans="15:27" x14ac:dyDescent="0.25">
      <c r="O227" t="s">
        <v>144</v>
      </c>
      <c r="P227" t="s">
        <v>145</v>
      </c>
      <c r="Q227" t="s">
        <v>146</v>
      </c>
      <c r="R227" t="s">
        <v>15</v>
      </c>
      <c r="S227" t="s">
        <v>36</v>
      </c>
      <c r="T227" s="33">
        <v>53949.26</v>
      </c>
      <c r="U227" t="s">
        <v>26</v>
      </c>
      <c r="V227">
        <v>43808</v>
      </c>
      <c r="W227">
        <v>1</v>
      </c>
      <c r="X227" t="s">
        <v>76</v>
      </c>
      <c r="Y227" t="s">
        <v>72</v>
      </c>
      <c r="Z227">
        <v>4.536986301369863</v>
      </c>
      <c r="AA227" t="s">
        <v>20</v>
      </c>
    </row>
    <row r="228" spans="15:27" x14ac:dyDescent="0.25">
      <c r="O228" t="s">
        <v>425</v>
      </c>
      <c r="P228" t="s">
        <v>426</v>
      </c>
      <c r="Q228" t="s">
        <v>427</v>
      </c>
      <c r="R228" t="s">
        <v>24</v>
      </c>
      <c r="S228" t="s">
        <v>58</v>
      </c>
      <c r="T228" s="33">
        <v>96555.53</v>
      </c>
      <c r="U228" t="s">
        <v>26</v>
      </c>
      <c r="V228">
        <v>43489</v>
      </c>
      <c r="W228">
        <v>0.2</v>
      </c>
      <c r="X228" t="s">
        <v>76</v>
      </c>
      <c r="Y228" t="s">
        <v>41</v>
      </c>
      <c r="Z228">
        <v>5.4109589041095889</v>
      </c>
      <c r="AA228" t="s">
        <v>28</v>
      </c>
    </row>
    <row r="229" spans="15:27" x14ac:dyDescent="0.25">
      <c r="O229" t="s">
        <v>315</v>
      </c>
      <c r="P229" t="s">
        <v>316</v>
      </c>
      <c r="Q229" t="s">
        <v>317</v>
      </c>
      <c r="R229" t="s">
        <v>24</v>
      </c>
      <c r="S229" t="s">
        <v>101</v>
      </c>
      <c r="T229" s="33">
        <v>71823.56</v>
      </c>
      <c r="U229" t="s">
        <v>26</v>
      </c>
      <c r="V229">
        <v>43374</v>
      </c>
      <c r="W229">
        <v>0.3</v>
      </c>
      <c r="X229" t="s">
        <v>76</v>
      </c>
      <c r="Y229" t="s">
        <v>19</v>
      </c>
      <c r="Z229">
        <v>5.7260273972602738</v>
      </c>
      <c r="AA229" t="s">
        <v>28</v>
      </c>
    </row>
    <row r="230" spans="15:27" x14ac:dyDescent="0.25">
      <c r="O230" t="s">
        <v>315</v>
      </c>
      <c r="P230" t="s">
        <v>316</v>
      </c>
      <c r="Q230" t="s">
        <v>317</v>
      </c>
      <c r="R230" t="s">
        <v>24</v>
      </c>
      <c r="S230" t="s">
        <v>101</v>
      </c>
      <c r="T230" s="33">
        <v>71823.56</v>
      </c>
      <c r="U230" t="s">
        <v>26</v>
      </c>
      <c r="V230">
        <v>43374</v>
      </c>
      <c r="W230">
        <v>0.3</v>
      </c>
      <c r="X230" t="s">
        <v>76</v>
      </c>
      <c r="Y230" t="s">
        <v>19</v>
      </c>
      <c r="Z230">
        <v>5.7260273972602738</v>
      </c>
      <c r="AA230" t="s">
        <v>28</v>
      </c>
    </row>
    <row r="231" spans="15:27" x14ac:dyDescent="0.25">
      <c r="O231" t="s">
        <v>73</v>
      </c>
      <c r="P231" t="s">
        <v>74</v>
      </c>
      <c r="Q231" t="s">
        <v>75</v>
      </c>
      <c r="R231" t="s">
        <v>15</v>
      </c>
      <c r="S231" t="s">
        <v>50</v>
      </c>
      <c r="T231" s="33">
        <v>61214.26</v>
      </c>
      <c r="U231" t="s">
        <v>26</v>
      </c>
      <c r="V231">
        <v>43171</v>
      </c>
      <c r="W231">
        <v>1</v>
      </c>
      <c r="X231" t="s">
        <v>76</v>
      </c>
      <c r="Y231" t="s">
        <v>77</v>
      </c>
      <c r="Z231">
        <v>6.2821917808219174</v>
      </c>
      <c r="AA231" t="s">
        <v>20</v>
      </c>
    </row>
    <row r="232" spans="15:27" x14ac:dyDescent="0.25">
      <c r="O232" t="s">
        <v>255</v>
      </c>
      <c r="P232" t="s">
        <v>256</v>
      </c>
      <c r="Q232" t="s">
        <v>257</v>
      </c>
      <c r="R232" t="s">
        <v>15</v>
      </c>
      <c r="S232" t="s">
        <v>16</v>
      </c>
      <c r="T232" s="33">
        <v>114465.93</v>
      </c>
      <c r="U232" t="s">
        <v>17</v>
      </c>
      <c r="V232">
        <v>43291</v>
      </c>
      <c r="W232">
        <v>1</v>
      </c>
      <c r="X232" t="s">
        <v>76</v>
      </c>
      <c r="Y232" t="s">
        <v>45</v>
      </c>
      <c r="Z232">
        <v>5.9534246575342467</v>
      </c>
      <c r="AA232" t="s">
        <v>20</v>
      </c>
    </row>
    <row r="233" spans="15:27" x14ac:dyDescent="0.25">
      <c r="O233" t="s">
        <v>442</v>
      </c>
      <c r="P233" t="s">
        <v>443</v>
      </c>
      <c r="Q233" t="s">
        <v>444</v>
      </c>
      <c r="R233" t="s">
        <v>24</v>
      </c>
      <c r="S233" t="s">
        <v>131</v>
      </c>
      <c r="T233" s="33">
        <v>32496.880000000001</v>
      </c>
      <c r="U233" t="s">
        <v>65</v>
      </c>
      <c r="V233">
        <v>43234</v>
      </c>
      <c r="W233">
        <v>1</v>
      </c>
      <c r="X233" t="s">
        <v>76</v>
      </c>
      <c r="Y233" t="s">
        <v>19</v>
      </c>
      <c r="Z233">
        <v>6.1095890410958908</v>
      </c>
      <c r="AA233" t="s">
        <v>20</v>
      </c>
    </row>
    <row r="234" spans="15:27" x14ac:dyDescent="0.25">
      <c r="O234" t="s">
        <v>85</v>
      </c>
      <c r="P234" t="s">
        <v>86</v>
      </c>
      <c r="Q234" t="s">
        <v>87</v>
      </c>
      <c r="R234" t="s">
        <v>15</v>
      </c>
      <c r="S234" t="s">
        <v>16</v>
      </c>
      <c r="T234" s="33">
        <v>39969.72</v>
      </c>
      <c r="U234" t="s">
        <v>65</v>
      </c>
      <c r="V234">
        <v>43444</v>
      </c>
      <c r="W234">
        <v>1</v>
      </c>
      <c r="X234" t="s">
        <v>76</v>
      </c>
      <c r="Y234" t="s">
        <v>72</v>
      </c>
      <c r="Z234">
        <v>5.5342465753424657</v>
      </c>
      <c r="AA234" t="s">
        <v>20</v>
      </c>
    </row>
    <row r="235" spans="15:27" x14ac:dyDescent="0.25">
      <c r="O235" t="s">
        <v>270</v>
      </c>
      <c r="P235" t="s">
        <v>271</v>
      </c>
      <c r="Q235" t="s">
        <v>272</v>
      </c>
      <c r="R235" t="s">
        <v>15</v>
      </c>
      <c r="S235" t="s">
        <v>131</v>
      </c>
      <c r="T235" s="33">
        <v>28481.16</v>
      </c>
      <c r="U235" t="s">
        <v>65</v>
      </c>
      <c r="V235">
        <v>44228</v>
      </c>
      <c r="W235">
        <v>1</v>
      </c>
      <c r="X235" t="s">
        <v>76</v>
      </c>
      <c r="Y235" t="s">
        <v>84</v>
      </c>
      <c r="Z235">
        <v>3.3863013698630136</v>
      </c>
      <c r="AA235" t="s">
        <v>20</v>
      </c>
    </row>
    <row r="236" spans="15:27" x14ac:dyDescent="0.25">
      <c r="O236" t="s">
        <v>159</v>
      </c>
      <c r="P236" t="s">
        <v>160</v>
      </c>
      <c r="Q236" t="s">
        <v>161</v>
      </c>
      <c r="R236" t="s">
        <v>15</v>
      </c>
      <c r="S236" t="s">
        <v>36</v>
      </c>
      <c r="T236" s="33">
        <v>114691.03</v>
      </c>
      <c r="U236" t="s">
        <v>17</v>
      </c>
      <c r="V236">
        <v>44039</v>
      </c>
      <c r="W236">
        <v>1</v>
      </c>
      <c r="X236" t="s">
        <v>76</v>
      </c>
      <c r="Y236" t="s">
        <v>45</v>
      </c>
      <c r="Z236">
        <v>3.904109589041096</v>
      </c>
      <c r="AA236" t="s">
        <v>20</v>
      </c>
    </row>
    <row r="237" spans="15:27" x14ac:dyDescent="0.25">
      <c r="O237" t="s">
        <v>584</v>
      </c>
      <c r="P237" t="s">
        <v>585</v>
      </c>
      <c r="Q237" t="s">
        <v>586</v>
      </c>
      <c r="R237" t="s">
        <v>15</v>
      </c>
      <c r="S237" t="s">
        <v>16</v>
      </c>
      <c r="T237" s="33">
        <v>82239.53</v>
      </c>
      <c r="U237" t="s">
        <v>26</v>
      </c>
      <c r="V237">
        <v>43846</v>
      </c>
      <c r="W237">
        <v>1</v>
      </c>
      <c r="X237" t="s">
        <v>76</v>
      </c>
      <c r="Y237" t="s">
        <v>72</v>
      </c>
      <c r="Z237">
        <v>4.4328767123287669</v>
      </c>
      <c r="AA237" t="s">
        <v>20</v>
      </c>
    </row>
    <row r="238" spans="15:27" x14ac:dyDescent="0.25">
      <c r="O238" t="s">
        <v>261</v>
      </c>
      <c r="P238" t="s">
        <v>262</v>
      </c>
      <c r="Q238" t="s">
        <v>263</v>
      </c>
      <c r="R238" t="s">
        <v>15</v>
      </c>
      <c r="S238" t="s">
        <v>105</v>
      </c>
      <c r="T238" s="33">
        <v>83191.95</v>
      </c>
      <c r="U238" t="s">
        <v>26</v>
      </c>
      <c r="V238">
        <v>43700</v>
      </c>
      <c r="W238">
        <v>0.6</v>
      </c>
      <c r="X238" t="s">
        <v>76</v>
      </c>
      <c r="Y238" t="s">
        <v>19</v>
      </c>
      <c r="Z238">
        <v>4.8328767123287673</v>
      </c>
      <c r="AA238" t="s">
        <v>28</v>
      </c>
    </row>
    <row r="239" spans="15:27" x14ac:dyDescent="0.25">
      <c r="O239" t="s">
        <v>243</v>
      </c>
      <c r="P239" t="s">
        <v>244</v>
      </c>
      <c r="Q239" t="s">
        <v>245</v>
      </c>
      <c r="R239" t="s">
        <v>15</v>
      </c>
      <c r="S239" t="s">
        <v>131</v>
      </c>
      <c r="T239" s="33">
        <v>113747.56</v>
      </c>
      <c r="U239" t="s">
        <v>17</v>
      </c>
      <c r="V239">
        <v>44270</v>
      </c>
      <c r="W239">
        <v>0.7</v>
      </c>
      <c r="X239" t="s">
        <v>76</v>
      </c>
      <c r="Y239" t="s">
        <v>72</v>
      </c>
      <c r="Z239">
        <v>3.2712328767123289</v>
      </c>
      <c r="AA239" t="s">
        <v>28</v>
      </c>
    </row>
    <row r="240" spans="15:27" x14ac:dyDescent="0.25">
      <c r="O240" t="s">
        <v>243</v>
      </c>
      <c r="P240" t="s">
        <v>244</v>
      </c>
      <c r="Q240" t="s">
        <v>245</v>
      </c>
      <c r="R240" t="s">
        <v>15</v>
      </c>
      <c r="S240" t="s">
        <v>131</v>
      </c>
      <c r="T240" s="33">
        <v>113747.56</v>
      </c>
      <c r="U240" t="s">
        <v>17</v>
      </c>
      <c r="V240">
        <v>44270</v>
      </c>
      <c r="W240">
        <v>0.7</v>
      </c>
      <c r="X240" t="s">
        <v>76</v>
      </c>
      <c r="Y240" t="s">
        <v>72</v>
      </c>
      <c r="Z240">
        <v>3.2712328767123289</v>
      </c>
      <c r="AA240" t="s">
        <v>28</v>
      </c>
    </row>
    <row r="241" spans="15:27" x14ac:dyDescent="0.25">
      <c r="O241" t="s">
        <v>354</v>
      </c>
      <c r="P241" t="s">
        <v>355</v>
      </c>
      <c r="Q241" t="s">
        <v>356</v>
      </c>
      <c r="R241" t="s">
        <v>15</v>
      </c>
      <c r="S241" t="s">
        <v>50</v>
      </c>
      <c r="T241" s="33">
        <v>37062.1</v>
      </c>
      <c r="U241" t="s">
        <v>65</v>
      </c>
      <c r="V241">
        <v>44357</v>
      </c>
      <c r="W241">
        <v>1</v>
      </c>
      <c r="X241" t="s">
        <v>76</v>
      </c>
      <c r="Y241" t="s">
        <v>84</v>
      </c>
      <c r="Z241">
        <v>3.032876712328767</v>
      </c>
      <c r="AA241" t="s">
        <v>20</v>
      </c>
    </row>
    <row r="242" spans="15:27" x14ac:dyDescent="0.25">
      <c r="O242" t="s">
        <v>138</v>
      </c>
      <c r="P242" t="s">
        <v>139</v>
      </c>
      <c r="Q242" t="s">
        <v>140</v>
      </c>
      <c r="R242" t="s">
        <v>15</v>
      </c>
      <c r="S242" t="s">
        <v>25</v>
      </c>
      <c r="T242" s="33">
        <v>73360.38</v>
      </c>
      <c r="U242" t="s">
        <v>26</v>
      </c>
      <c r="V242">
        <v>43972</v>
      </c>
      <c r="W242">
        <v>1</v>
      </c>
      <c r="X242" t="s">
        <v>76</v>
      </c>
      <c r="Y242" t="s">
        <v>19</v>
      </c>
      <c r="Z242">
        <v>4.087671232876712</v>
      </c>
      <c r="AA242" t="s">
        <v>20</v>
      </c>
    </row>
    <row r="243" spans="15:27" x14ac:dyDescent="0.25">
      <c r="O243" t="s">
        <v>138</v>
      </c>
      <c r="P243" t="s">
        <v>139</v>
      </c>
      <c r="Q243" t="s">
        <v>140</v>
      </c>
      <c r="R243" t="s">
        <v>15</v>
      </c>
      <c r="S243" t="s">
        <v>25</v>
      </c>
      <c r="T243" s="33">
        <v>73360.38</v>
      </c>
      <c r="U243" t="s">
        <v>26</v>
      </c>
      <c r="V243">
        <v>43972</v>
      </c>
      <c r="W243">
        <v>1</v>
      </c>
      <c r="X243" t="s">
        <v>76</v>
      </c>
      <c r="Y243" t="s">
        <v>19</v>
      </c>
      <c r="Z243">
        <v>4.087671232876712</v>
      </c>
      <c r="AA243" t="s">
        <v>20</v>
      </c>
    </row>
    <row r="244" spans="15:27" x14ac:dyDescent="0.25">
      <c r="O244" t="s">
        <v>481</v>
      </c>
      <c r="P244" t="s">
        <v>482</v>
      </c>
      <c r="Q244" t="s">
        <v>483</v>
      </c>
      <c r="R244" t="s">
        <v>15</v>
      </c>
      <c r="S244" t="s">
        <v>16</v>
      </c>
      <c r="T244" s="33">
        <v>36536.26</v>
      </c>
      <c r="U244" t="s">
        <v>65</v>
      </c>
      <c r="V244">
        <v>44358</v>
      </c>
      <c r="W244">
        <v>1</v>
      </c>
      <c r="X244" t="s">
        <v>76</v>
      </c>
      <c r="Y244" t="s">
        <v>41</v>
      </c>
      <c r="Z244">
        <v>3.0301369863013701</v>
      </c>
      <c r="AA244" t="s">
        <v>20</v>
      </c>
    </row>
    <row r="245" spans="15:27" x14ac:dyDescent="0.25">
      <c r="O245" t="s">
        <v>380</v>
      </c>
      <c r="P245" t="s">
        <v>381</v>
      </c>
      <c r="Q245" t="s">
        <v>382</v>
      </c>
      <c r="R245" t="s">
        <v>24</v>
      </c>
      <c r="S245" t="s">
        <v>124</v>
      </c>
      <c r="T245" s="33">
        <v>89829.33</v>
      </c>
      <c r="U245" t="s">
        <v>26</v>
      </c>
      <c r="V245">
        <v>43794</v>
      </c>
      <c r="W245">
        <v>1</v>
      </c>
      <c r="X245" t="s">
        <v>76</v>
      </c>
      <c r="Y245" t="s">
        <v>84</v>
      </c>
      <c r="Z245">
        <v>4.5753424657534243</v>
      </c>
      <c r="AA245" t="s">
        <v>20</v>
      </c>
    </row>
    <row r="246" spans="15:27" x14ac:dyDescent="0.25">
      <c r="O246" t="s">
        <v>454</v>
      </c>
      <c r="P246" t="s">
        <v>455</v>
      </c>
      <c r="Q246" t="s">
        <v>456</v>
      </c>
      <c r="R246" t="s">
        <v>49</v>
      </c>
      <c r="S246" t="s">
        <v>131</v>
      </c>
      <c r="T246" s="33">
        <v>63447.07</v>
      </c>
      <c r="U246" t="s">
        <v>26</v>
      </c>
      <c r="V246">
        <v>44148</v>
      </c>
      <c r="W246">
        <v>1</v>
      </c>
      <c r="X246" t="s">
        <v>76</v>
      </c>
      <c r="Y246" t="s">
        <v>45</v>
      </c>
      <c r="Z246">
        <v>3.6054794520547944</v>
      </c>
      <c r="AA246" t="s">
        <v>20</v>
      </c>
    </row>
    <row r="247" spans="15:27" x14ac:dyDescent="0.25">
      <c r="O247" t="s">
        <v>701</v>
      </c>
      <c r="P247" t="s">
        <v>702</v>
      </c>
      <c r="Q247" t="s">
        <v>703</v>
      </c>
      <c r="R247" t="s">
        <v>15</v>
      </c>
      <c r="S247" t="s">
        <v>105</v>
      </c>
      <c r="T247" s="33">
        <v>80772.92</v>
      </c>
      <c r="U247" t="s">
        <v>26</v>
      </c>
      <c r="V247">
        <v>44137</v>
      </c>
      <c r="W247">
        <v>1</v>
      </c>
      <c r="X247" t="s">
        <v>76</v>
      </c>
      <c r="Y247" t="s">
        <v>19</v>
      </c>
      <c r="Z247">
        <v>3.6356164383561644</v>
      </c>
      <c r="AA247" t="s">
        <v>20</v>
      </c>
    </row>
    <row r="248" spans="15:27" x14ac:dyDescent="0.25">
      <c r="O248" t="s">
        <v>125</v>
      </c>
      <c r="P248" t="s">
        <v>126</v>
      </c>
      <c r="Q248" t="s">
        <v>127</v>
      </c>
      <c r="R248" t="s">
        <v>15</v>
      </c>
      <c r="S248" t="s">
        <v>101</v>
      </c>
      <c r="T248" s="33">
        <v>52246.29</v>
      </c>
      <c r="U248" t="s">
        <v>26</v>
      </c>
      <c r="V248">
        <v>43573</v>
      </c>
      <c r="W248">
        <v>1</v>
      </c>
      <c r="X248" t="s">
        <v>76</v>
      </c>
      <c r="Y248" t="s">
        <v>45</v>
      </c>
      <c r="Z248">
        <v>5.1808219178082195</v>
      </c>
      <c r="AA248" t="s">
        <v>20</v>
      </c>
    </row>
    <row r="249" spans="15:27" x14ac:dyDescent="0.25">
      <c r="O249" t="s">
        <v>171</v>
      </c>
      <c r="P249" t="s">
        <v>172</v>
      </c>
      <c r="Q249" t="s">
        <v>173</v>
      </c>
      <c r="R249" t="s">
        <v>24</v>
      </c>
      <c r="S249" t="s">
        <v>50</v>
      </c>
      <c r="T249" s="33">
        <v>58935.92</v>
      </c>
      <c r="U249" t="s">
        <v>26</v>
      </c>
      <c r="V249">
        <v>43717</v>
      </c>
      <c r="W249">
        <v>1</v>
      </c>
      <c r="X249" t="s">
        <v>76</v>
      </c>
      <c r="Y249" t="s">
        <v>41</v>
      </c>
      <c r="Z249">
        <v>4.7863013698630139</v>
      </c>
      <c r="AA249" t="s">
        <v>20</v>
      </c>
    </row>
    <row r="250" spans="15:27" x14ac:dyDescent="0.25">
      <c r="O250" t="s">
        <v>267</v>
      </c>
      <c r="P250" t="s">
        <v>268</v>
      </c>
      <c r="Q250" t="s">
        <v>269</v>
      </c>
      <c r="R250" t="s">
        <v>15</v>
      </c>
      <c r="S250" t="s">
        <v>97</v>
      </c>
      <c r="T250" s="33">
        <v>83396.5</v>
      </c>
      <c r="U250" t="s">
        <v>26</v>
      </c>
      <c r="V250">
        <v>44285</v>
      </c>
      <c r="W250">
        <v>1</v>
      </c>
      <c r="X250" t="s">
        <v>76</v>
      </c>
      <c r="Y250" t="s">
        <v>77</v>
      </c>
      <c r="Z250">
        <v>3.2301369863013698</v>
      </c>
      <c r="AA250" t="s">
        <v>20</v>
      </c>
    </row>
    <row r="251" spans="15:27" x14ac:dyDescent="0.25">
      <c r="O251" t="s">
        <v>374</v>
      </c>
      <c r="P251" t="s">
        <v>375</v>
      </c>
      <c r="Q251" t="s">
        <v>376</v>
      </c>
      <c r="R251" t="s">
        <v>15</v>
      </c>
      <c r="S251" t="s">
        <v>32</v>
      </c>
      <c r="T251" s="33">
        <v>111815.49</v>
      </c>
      <c r="U251" t="s">
        <v>17</v>
      </c>
      <c r="V251">
        <v>43895</v>
      </c>
      <c r="W251">
        <v>0.7</v>
      </c>
      <c r="X251" t="s">
        <v>76</v>
      </c>
      <c r="Y251" t="s">
        <v>19</v>
      </c>
      <c r="Z251">
        <v>4.2986301369863016</v>
      </c>
      <c r="AA251" t="s">
        <v>28</v>
      </c>
    </row>
    <row r="252" spans="15:27" x14ac:dyDescent="0.25">
      <c r="O252" t="s">
        <v>374</v>
      </c>
      <c r="P252" t="s">
        <v>375</v>
      </c>
      <c r="Q252" t="s">
        <v>376</v>
      </c>
      <c r="R252" t="s">
        <v>15</v>
      </c>
      <c r="S252" t="s">
        <v>32</v>
      </c>
      <c r="T252" s="33">
        <v>111815.49</v>
      </c>
      <c r="U252" t="s">
        <v>17</v>
      </c>
      <c r="V252">
        <v>43895</v>
      </c>
      <c r="W252">
        <v>0.7</v>
      </c>
      <c r="X252" t="s">
        <v>76</v>
      </c>
      <c r="Y252" t="s">
        <v>19</v>
      </c>
      <c r="Z252">
        <v>4.2986301369863016</v>
      </c>
      <c r="AA252" t="s">
        <v>28</v>
      </c>
    </row>
    <row r="253" spans="15:27" x14ac:dyDescent="0.25">
      <c r="O253" t="s">
        <v>201</v>
      </c>
      <c r="P253" t="s">
        <v>202</v>
      </c>
      <c r="Q253" t="s">
        <v>203</v>
      </c>
      <c r="R253" t="s">
        <v>24</v>
      </c>
      <c r="S253" t="s">
        <v>36</v>
      </c>
      <c r="T253" s="33">
        <v>116767.63</v>
      </c>
      <c r="U253" t="s">
        <v>17</v>
      </c>
      <c r="V253">
        <v>43949</v>
      </c>
      <c r="W253">
        <v>0.4</v>
      </c>
      <c r="X253" t="s">
        <v>76</v>
      </c>
      <c r="Y253" t="s">
        <v>84</v>
      </c>
      <c r="Z253">
        <v>4.1506849315068495</v>
      </c>
      <c r="AA253" t="s">
        <v>28</v>
      </c>
    </row>
    <row r="254" spans="15:27" x14ac:dyDescent="0.25">
      <c r="O254" t="s">
        <v>201</v>
      </c>
      <c r="P254" t="s">
        <v>619</v>
      </c>
      <c r="Q254" t="s">
        <v>620</v>
      </c>
      <c r="R254" t="s">
        <v>24</v>
      </c>
      <c r="S254" t="s">
        <v>36</v>
      </c>
      <c r="T254" s="33">
        <v>116767.63</v>
      </c>
      <c r="U254" t="s">
        <v>17</v>
      </c>
      <c r="V254">
        <v>43949</v>
      </c>
      <c r="W254">
        <v>0.4</v>
      </c>
      <c r="X254" t="s">
        <v>76</v>
      </c>
      <c r="Y254" t="s">
        <v>84</v>
      </c>
      <c r="Z254">
        <v>4.1506849315068495</v>
      </c>
      <c r="AA254" t="s">
        <v>28</v>
      </c>
    </row>
    <row r="255" spans="15:27" x14ac:dyDescent="0.25">
      <c r="O255" t="s">
        <v>112</v>
      </c>
      <c r="P255" t="s">
        <v>113</v>
      </c>
      <c r="Q255" t="s">
        <v>114</v>
      </c>
      <c r="R255" t="s">
        <v>49</v>
      </c>
      <c r="S255" t="s">
        <v>36</v>
      </c>
      <c r="T255" s="33">
        <v>78840.23</v>
      </c>
      <c r="U255" t="s">
        <v>26</v>
      </c>
      <c r="V255">
        <v>43633</v>
      </c>
      <c r="W255">
        <v>1</v>
      </c>
      <c r="X255" t="s">
        <v>76</v>
      </c>
      <c r="Y255" t="s">
        <v>19</v>
      </c>
      <c r="Z255">
        <v>5.0164383561643833</v>
      </c>
      <c r="AA255" t="s">
        <v>20</v>
      </c>
    </row>
    <row r="256" spans="15:27" x14ac:dyDescent="0.25">
      <c r="O256" t="s">
        <v>602</v>
      </c>
      <c r="P256" t="s">
        <v>603</v>
      </c>
      <c r="Q256" t="s">
        <v>604</v>
      </c>
      <c r="R256" t="s">
        <v>15</v>
      </c>
      <c r="S256" t="s">
        <v>101</v>
      </c>
      <c r="T256" s="33">
        <v>38825.18</v>
      </c>
      <c r="U256" t="s">
        <v>65</v>
      </c>
      <c r="V256">
        <v>43696</v>
      </c>
      <c r="W256">
        <v>1</v>
      </c>
      <c r="X256" t="s">
        <v>76</v>
      </c>
      <c r="Y256" t="s">
        <v>19</v>
      </c>
      <c r="Z256">
        <v>4.8438356164383558</v>
      </c>
      <c r="AA256" t="s">
        <v>20</v>
      </c>
    </row>
    <row r="257" spans="15:27" x14ac:dyDescent="0.25">
      <c r="O257" t="s">
        <v>651</v>
      </c>
      <c r="P257" t="s">
        <v>652</v>
      </c>
      <c r="Q257" t="s">
        <v>653</v>
      </c>
      <c r="R257" t="s">
        <v>15</v>
      </c>
      <c r="S257" t="s">
        <v>25</v>
      </c>
      <c r="T257" s="33">
        <v>106400.02</v>
      </c>
      <c r="U257" t="s">
        <v>17</v>
      </c>
      <c r="V257">
        <v>44021</v>
      </c>
      <c r="W257">
        <v>1</v>
      </c>
      <c r="X257" t="s">
        <v>76</v>
      </c>
      <c r="Y257" t="s">
        <v>84</v>
      </c>
      <c r="Z257">
        <v>3.9534246575342467</v>
      </c>
      <c r="AA257" t="s">
        <v>20</v>
      </c>
    </row>
    <row r="258" spans="15:27" x14ac:dyDescent="0.25">
      <c r="O258" t="s">
        <v>651</v>
      </c>
      <c r="P258" t="s">
        <v>675</v>
      </c>
      <c r="Q258" t="s">
        <v>676</v>
      </c>
      <c r="R258" t="s">
        <v>15</v>
      </c>
      <c r="S258" t="s">
        <v>25</v>
      </c>
      <c r="T258" s="33">
        <v>106400.02</v>
      </c>
      <c r="U258" t="s">
        <v>17</v>
      </c>
      <c r="V258">
        <v>44021</v>
      </c>
      <c r="W258">
        <v>1</v>
      </c>
      <c r="X258" t="s">
        <v>76</v>
      </c>
      <c r="Y258" t="s">
        <v>84</v>
      </c>
      <c r="Z258">
        <v>3.9534246575342467</v>
      </c>
      <c r="AA258" t="s">
        <v>20</v>
      </c>
    </row>
    <row r="259" spans="15:27" x14ac:dyDescent="0.25">
      <c r="O259" t="s">
        <v>522</v>
      </c>
      <c r="P259" t="s">
        <v>523</v>
      </c>
      <c r="Q259" t="s">
        <v>524</v>
      </c>
      <c r="R259" t="s">
        <v>15</v>
      </c>
      <c r="S259" t="s">
        <v>58</v>
      </c>
      <c r="T259" s="33">
        <v>28160.79</v>
      </c>
      <c r="U259" t="s">
        <v>65</v>
      </c>
      <c r="V259">
        <v>43129</v>
      </c>
      <c r="W259">
        <v>1</v>
      </c>
      <c r="X259" t="s">
        <v>76</v>
      </c>
      <c r="Y259" t="s">
        <v>19</v>
      </c>
      <c r="Z259">
        <v>6.397260273972603</v>
      </c>
      <c r="AA259" t="s">
        <v>20</v>
      </c>
    </row>
    <row r="260" spans="15:27" x14ac:dyDescent="0.25">
      <c r="O260" t="s">
        <v>536</v>
      </c>
      <c r="P260" t="s">
        <v>537</v>
      </c>
      <c r="Q260" t="s">
        <v>538</v>
      </c>
      <c r="R260" t="s">
        <v>24</v>
      </c>
      <c r="S260" t="s">
        <v>36</v>
      </c>
      <c r="T260" s="33">
        <v>58744.17</v>
      </c>
      <c r="U260" t="s">
        <v>26</v>
      </c>
      <c r="V260">
        <v>43171</v>
      </c>
      <c r="W260">
        <v>1</v>
      </c>
      <c r="X260" t="s">
        <v>76</v>
      </c>
      <c r="Y260" t="s">
        <v>72</v>
      </c>
      <c r="Z260">
        <v>6.2821917808219174</v>
      </c>
      <c r="AA260" t="s">
        <v>20</v>
      </c>
    </row>
    <row r="261" spans="15:27" x14ac:dyDescent="0.25">
      <c r="O261" t="s">
        <v>528</v>
      </c>
      <c r="P261" t="s">
        <v>529</v>
      </c>
      <c r="Q261" t="s">
        <v>530</v>
      </c>
      <c r="R261" t="s">
        <v>24</v>
      </c>
      <c r="S261" t="s">
        <v>54</v>
      </c>
      <c r="T261" s="33">
        <v>70755.5</v>
      </c>
      <c r="U261" t="s">
        <v>26</v>
      </c>
      <c r="V261">
        <v>44090</v>
      </c>
      <c r="W261">
        <v>0.8</v>
      </c>
      <c r="X261" t="s">
        <v>76</v>
      </c>
      <c r="Y261" t="s">
        <v>41</v>
      </c>
      <c r="Z261">
        <v>3.7643835616438355</v>
      </c>
      <c r="AA261" t="s">
        <v>28</v>
      </c>
    </row>
    <row r="262" spans="15:27" x14ac:dyDescent="0.25">
      <c r="O262" t="s">
        <v>457</v>
      </c>
      <c r="P262" t="s">
        <v>458</v>
      </c>
      <c r="Q262" t="s">
        <v>459</v>
      </c>
      <c r="R262" t="s">
        <v>24</v>
      </c>
      <c r="S262" t="s">
        <v>124</v>
      </c>
      <c r="T262" s="33">
        <v>106665.67</v>
      </c>
      <c r="U262" t="s">
        <v>17</v>
      </c>
      <c r="V262">
        <v>43311</v>
      </c>
      <c r="W262">
        <v>1</v>
      </c>
      <c r="X262" t="s">
        <v>76</v>
      </c>
      <c r="Y262" t="s">
        <v>72</v>
      </c>
      <c r="Z262">
        <v>5.8986301369863012</v>
      </c>
      <c r="AA262" t="s">
        <v>20</v>
      </c>
    </row>
    <row r="263" spans="15:27" x14ac:dyDescent="0.25">
      <c r="O263" t="s">
        <v>135</v>
      </c>
      <c r="P263" t="s">
        <v>136</v>
      </c>
      <c r="Q263" t="s">
        <v>137</v>
      </c>
      <c r="R263" t="s">
        <v>15</v>
      </c>
      <c r="S263" t="s">
        <v>97</v>
      </c>
      <c r="T263" s="33">
        <v>76320.44</v>
      </c>
      <c r="U263" t="s">
        <v>26</v>
      </c>
      <c r="V263">
        <v>44383</v>
      </c>
      <c r="W263">
        <v>0.8</v>
      </c>
      <c r="X263" t="s">
        <v>76</v>
      </c>
      <c r="Y263" t="s">
        <v>19</v>
      </c>
      <c r="Z263">
        <v>2.9616438356164383</v>
      </c>
      <c r="AA263" t="s">
        <v>28</v>
      </c>
    </row>
    <row r="264" spans="15:27" x14ac:dyDescent="0.25">
      <c r="O264" t="s">
        <v>150</v>
      </c>
      <c r="P264" t="s">
        <v>151</v>
      </c>
      <c r="Q264" t="s">
        <v>152</v>
      </c>
      <c r="R264" t="s">
        <v>24</v>
      </c>
      <c r="S264" t="s">
        <v>124</v>
      </c>
      <c r="T264" s="33">
        <v>110906.35</v>
      </c>
      <c r="U264" t="s">
        <v>17</v>
      </c>
      <c r="V264">
        <v>43434</v>
      </c>
      <c r="W264">
        <v>1</v>
      </c>
      <c r="X264" t="s">
        <v>76</v>
      </c>
      <c r="Y264" t="s">
        <v>45</v>
      </c>
      <c r="Z264">
        <v>5.5616438356164384</v>
      </c>
      <c r="AA264" t="s">
        <v>20</v>
      </c>
    </row>
    <row r="265" spans="15:27" x14ac:dyDescent="0.25">
      <c r="O265" t="s">
        <v>725</v>
      </c>
      <c r="P265" t="s">
        <v>726</v>
      </c>
      <c r="Q265" t="s">
        <v>727</v>
      </c>
      <c r="R265" t="s">
        <v>24</v>
      </c>
      <c r="S265" t="s">
        <v>97</v>
      </c>
      <c r="T265" s="33">
        <v>29808.07</v>
      </c>
      <c r="U265" t="s">
        <v>65</v>
      </c>
      <c r="V265">
        <v>43291</v>
      </c>
      <c r="W265">
        <v>0.3</v>
      </c>
      <c r="X265" t="s">
        <v>76</v>
      </c>
      <c r="Y265" t="s">
        <v>41</v>
      </c>
      <c r="Z265">
        <v>5.9534246575342467</v>
      </c>
      <c r="AA265" t="s">
        <v>28</v>
      </c>
    </row>
    <row r="266" spans="15:27" x14ac:dyDescent="0.25">
      <c r="O266" t="s">
        <v>306</v>
      </c>
      <c r="P266" t="s">
        <v>307</v>
      </c>
      <c r="Q266" t="s">
        <v>308</v>
      </c>
      <c r="R266" t="s">
        <v>15</v>
      </c>
      <c r="S266" t="s">
        <v>16</v>
      </c>
      <c r="T266" s="33">
        <v>47362.62</v>
      </c>
      <c r="U266" t="s">
        <v>65</v>
      </c>
      <c r="V266">
        <v>43973</v>
      </c>
      <c r="W266">
        <v>1</v>
      </c>
      <c r="X266" t="s">
        <v>76</v>
      </c>
      <c r="Y266" t="s">
        <v>19</v>
      </c>
      <c r="Z266">
        <v>4.0849315068493155</v>
      </c>
      <c r="AA266" t="s">
        <v>20</v>
      </c>
    </row>
  </sheetData>
  <mergeCells count="8">
    <mergeCell ref="J23:L23"/>
    <mergeCell ref="K13:L13"/>
    <mergeCell ref="F7:G7"/>
    <mergeCell ref="K15:M15"/>
    <mergeCell ref="C4:D4"/>
    <mergeCell ref="C8:D8"/>
    <mergeCell ref="C5:D5"/>
    <mergeCell ref="C16:E16"/>
  </mergeCells>
  <pageMargins left="0.7" right="0.7" top="0.75" bottom="0.75" header="0.3" footer="0.3"/>
  <ignoredErrors>
    <ignoredError sqref="F10 M17 F21 M2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9719-66AB-46E3-BBEE-F3D259B180B4}">
  <sheetPr>
    <tabColor theme="2" tint="-0.499984740745262"/>
  </sheetPr>
  <dimension ref="A1:AW275"/>
  <sheetViews>
    <sheetView tabSelected="1" zoomScale="71" workbookViewId="0">
      <selection activeCell="F15" sqref="F15"/>
    </sheetView>
  </sheetViews>
  <sheetFormatPr defaultRowHeight="15" x14ac:dyDescent="0.25"/>
  <cols>
    <col min="2" max="2" width="18.42578125" customWidth="1"/>
    <col min="3" max="3" width="26.5703125" customWidth="1"/>
    <col min="4" max="4" width="27.28515625" customWidth="1"/>
    <col min="5" max="5" width="22.140625" customWidth="1"/>
    <col min="6" max="6" width="14.42578125" customWidth="1"/>
    <col min="9" max="9" width="18" bestFit="1" customWidth="1"/>
    <col min="13" max="13" width="13" bestFit="1" customWidth="1"/>
    <col min="21" max="21" width="8.42578125" bestFit="1" customWidth="1"/>
    <col min="22" max="22" width="13.85546875" bestFit="1" customWidth="1"/>
    <col min="23" max="23" width="14.85546875" bestFit="1" customWidth="1"/>
    <col min="24" max="24" width="13.7109375" bestFit="1" customWidth="1"/>
    <col min="25" max="25" width="25.85546875" bestFit="1" customWidth="1"/>
    <col min="26" max="26" width="10" bestFit="1" customWidth="1"/>
    <col min="27" max="27" width="12.7109375" bestFit="1" customWidth="1"/>
    <col min="28" max="28" width="18" bestFit="1" customWidth="1"/>
    <col min="29" max="29" width="4" bestFit="1" customWidth="1"/>
    <col min="30" max="30" width="14.42578125" bestFit="1" customWidth="1"/>
    <col min="31" max="31" width="23.85546875" bestFit="1" customWidth="1"/>
    <col min="32" max="32" width="12" bestFit="1" customWidth="1"/>
    <col min="33" max="33" width="10.42578125" bestFit="1" customWidth="1"/>
    <col min="36" max="36" width="15.5703125" customWidth="1"/>
    <col min="39" max="39" width="11" customWidth="1"/>
    <col min="43" max="43" width="13" bestFit="1" customWidth="1"/>
  </cols>
  <sheetData>
    <row r="1" spans="1:48" x14ac:dyDescent="0.25">
      <c r="A1" s="18">
        <v>8</v>
      </c>
      <c r="B1" s="19" t="s">
        <v>752</v>
      </c>
      <c r="C1" s="19"/>
      <c r="D1" s="20" t="s">
        <v>753</v>
      </c>
      <c r="E1" s="19"/>
    </row>
    <row r="2" spans="1:48" x14ac:dyDescent="0.25">
      <c r="A2" s="18">
        <v>9</v>
      </c>
      <c r="B2" s="19" t="s">
        <v>754</v>
      </c>
      <c r="C2" s="19"/>
      <c r="D2" s="20" t="s">
        <v>755</v>
      </c>
      <c r="E2" s="58" t="s">
        <v>766</v>
      </c>
      <c r="F2" s="38"/>
      <c r="G2" s="26"/>
    </row>
    <row r="5" spans="1:48" x14ac:dyDescent="0.25">
      <c r="B5" s="64" t="s">
        <v>821</v>
      </c>
      <c r="C5" s="64"/>
    </row>
    <row r="6" spans="1:48" x14ac:dyDescent="0.25">
      <c r="B6" t="s">
        <v>819</v>
      </c>
      <c r="C6" t="str" cm="1">
        <f t="array" ref="C6">_xlfn.XLOOKUP(MAX(staff[Salary]),staff[Salary],staff[First Name]&amp;" "&amp;staff[Last Name])</f>
        <v>Minerva Ricardot</v>
      </c>
    </row>
    <row r="9" spans="1:48" x14ac:dyDescent="0.25">
      <c r="C9" s="71" t="s">
        <v>822</v>
      </c>
      <c r="D9" s="71"/>
    </row>
    <row r="10" spans="1:48" x14ac:dyDescent="0.25">
      <c r="B10" t="s">
        <v>820</v>
      </c>
      <c r="C10" t="str" cm="1">
        <f t="array" ref="C10">_xlfn.TEXTJOIN(", ",,_xlfn._xlws.FILTER(staff[First Name]&amp;" "&amp;staff[Last Name],staff[Salary]=MAX(staff[Salary])))</f>
        <v>Minerva Ricardot, Mick Spraberry</v>
      </c>
    </row>
    <row r="12" spans="1:48" x14ac:dyDescent="0.25">
      <c r="U12" t="str" cm="1">
        <f t="array" ref="U12:AG12">staff[#Headers]</f>
        <v>Emp ID</v>
      </c>
      <c r="V12" t="str">
        <v>First Name</v>
      </c>
      <c r="W12" t="str">
        <v>Last Name</v>
      </c>
      <c r="X12" t="str">
        <v>Gender</v>
      </c>
      <c r="Y12" t="str">
        <v>Department</v>
      </c>
      <c r="Z12" t="str">
        <v>Salary</v>
      </c>
      <c r="AA12" t="str">
        <v>Salary Bucket</v>
      </c>
      <c r="AB12" s="57" t="str">
        <v>Start Date</v>
      </c>
      <c r="AC12" t="str">
        <v>FTE</v>
      </c>
      <c r="AD12" t="str">
        <v>Employee type</v>
      </c>
      <c r="AE12" t="str">
        <v>Work location</v>
      </c>
      <c r="AF12" t="str">
        <v>Tenure</v>
      </c>
      <c r="AG12" t="str">
        <v>Work Type</v>
      </c>
      <c r="AL12" s="67" t="s">
        <v>826</v>
      </c>
      <c r="AM12" s="67"/>
      <c r="AN12" s="67"/>
      <c r="AO12" s="67"/>
      <c r="AP12" s="67"/>
    </row>
    <row r="13" spans="1:48" x14ac:dyDescent="0.25">
      <c r="U13" t="str" cm="1">
        <f t="array" ref="U13:AG272">staff[]</f>
        <v>PR00147</v>
      </c>
      <c r="V13" t="str">
        <v>Minerva</v>
      </c>
      <c r="W13" t="str">
        <v>Ricardot</v>
      </c>
      <c r="X13" t="str">
        <v>Male</v>
      </c>
      <c r="Y13" t="str">
        <v>Engineering</v>
      </c>
      <c r="Z13">
        <v>120000</v>
      </c>
      <c r="AA13" t="str">
        <v>Above 100k</v>
      </c>
      <c r="AB13" s="57">
        <v>43416</v>
      </c>
      <c r="AC13">
        <v>1</v>
      </c>
      <c r="AD13" t="str">
        <v>Permanent</v>
      </c>
      <c r="AE13" t="str">
        <v>Remote</v>
      </c>
      <c r="AF13">
        <v>5.6109589041095891</v>
      </c>
      <c r="AG13" t="str">
        <v>Full time</v>
      </c>
    </row>
    <row r="14" spans="1:48" x14ac:dyDescent="0.25">
      <c r="C14" s="73" t="s">
        <v>823</v>
      </c>
      <c r="D14" s="73"/>
      <c r="E14" s="59" t="s">
        <v>825</v>
      </c>
      <c r="F14" s="73" t="s">
        <v>824</v>
      </c>
      <c r="G14" s="73"/>
      <c r="H14" s="73"/>
      <c r="I14" s="73"/>
      <c r="J14" s="73"/>
      <c r="K14" s="73"/>
      <c r="L14" s="73"/>
      <c r="M14" s="73"/>
      <c r="N14" s="73"/>
      <c r="O14" s="73"/>
      <c r="U14" t="str">
        <v>SQ04612</v>
      </c>
      <c r="V14" t="str">
        <v>Mick</v>
      </c>
      <c r="W14" t="str">
        <v>Spraberry</v>
      </c>
      <c r="X14" t="str">
        <v>Female</v>
      </c>
      <c r="Y14" t="str">
        <v>Services</v>
      </c>
      <c r="Z14">
        <v>120000</v>
      </c>
      <c r="AA14" t="str">
        <v>Above 100k</v>
      </c>
      <c r="AB14" s="57">
        <v>43902</v>
      </c>
      <c r="AC14">
        <v>0.9</v>
      </c>
      <c r="AD14" t="str">
        <v>Permanent</v>
      </c>
      <c r="AE14" t="str">
        <v>Remote</v>
      </c>
      <c r="AF14">
        <v>4.279452054794521</v>
      </c>
      <c r="AG14" t="str">
        <v>Part time</v>
      </c>
      <c r="AJ14" t="str" cm="1">
        <f t="array" ref="AJ14:AV26">_xlfn._xlws.FILTER(U12:AG272,LEFT(V12:V272 )= "L")</f>
        <v>VT01893</v>
      </c>
      <c r="AK14" t="str">
        <v>Lindy</v>
      </c>
      <c r="AL14" t="str">
        <v>Guillet</v>
      </c>
      <c r="AM14" t="str">
        <v>Male</v>
      </c>
      <c r="AN14" t="str">
        <v>Training</v>
      </c>
      <c r="AO14">
        <v>112778.28</v>
      </c>
      <c r="AP14" t="str">
        <v>Above 100k</v>
      </c>
      <c r="AQ14" s="39">
        <v>43250</v>
      </c>
      <c r="AR14">
        <v>1</v>
      </c>
      <c r="AS14" t="str">
        <v>Fixed Term</v>
      </c>
      <c r="AT14" t="str">
        <v>Remote</v>
      </c>
      <c r="AU14">
        <v>6.065753424657534</v>
      </c>
      <c r="AV14" t="str">
        <v>Full time</v>
      </c>
    </row>
    <row r="15" spans="1:48" x14ac:dyDescent="0.25">
      <c r="B15" s="56" t="s">
        <v>0</v>
      </c>
      <c r="C15" s="56" t="s">
        <v>1</v>
      </c>
      <c r="D15" s="56" t="s">
        <v>2</v>
      </c>
      <c r="E15" t="str" cm="1">
        <f t="array" ref="E15:E76">TEXT(M15:M76,"dddd")</f>
        <v>Monday</v>
      </c>
      <c r="F15" t="str" cm="1">
        <f t="array" ref="F15:R76">_xlfn._xlws.FILTER(staff[],(staff[Gender] = "Female")*WEEKDAY(staff[Start Date],2)=1)</f>
        <v>SQ02174</v>
      </c>
      <c r="G15" t="str">
        <v>Sidoney</v>
      </c>
      <c r="H15" t="str">
        <v>Yitzhok</v>
      </c>
      <c r="I15" t="str">
        <v>Female</v>
      </c>
      <c r="J15" t="str">
        <v>Engineering</v>
      </c>
      <c r="K15">
        <v>118442.54</v>
      </c>
      <c r="L15" t="str">
        <v>Above 100k</v>
      </c>
      <c r="M15" s="39">
        <v>44193</v>
      </c>
      <c r="N15">
        <v>1</v>
      </c>
      <c r="O15" t="str">
        <v>Permanent</v>
      </c>
      <c r="P15" t="str">
        <v>Auckland, New Zealand</v>
      </c>
      <c r="Q15">
        <v>3.4821917808219176</v>
      </c>
      <c r="R15" t="str">
        <v>Full time</v>
      </c>
      <c r="U15" t="str">
        <v>PR03886</v>
      </c>
      <c r="V15" t="str">
        <v>Edd</v>
      </c>
      <c r="W15" t="str">
        <v>MacKnockiter</v>
      </c>
      <c r="X15" t="str">
        <v>Male</v>
      </c>
      <c r="Y15" t="str">
        <v>Accounting</v>
      </c>
      <c r="Z15">
        <v>119022.49</v>
      </c>
      <c r="AA15" t="str">
        <v>Above 100k</v>
      </c>
      <c r="AB15" s="57">
        <v>44431</v>
      </c>
      <c r="AC15">
        <v>1</v>
      </c>
      <c r="AD15" t="str">
        <v>Permanent</v>
      </c>
      <c r="AE15" t="str">
        <v>Auckland, New Zealand</v>
      </c>
      <c r="AF15">
        <v>2.8301369863013699</v>
      </c>
      <c r="AG15" t="str">
        <v>Full time</v>
      </c>
      <c r="AJ15" t="str">
        <v>VT01893</v>
      </c>
      <c r="AK15" t="str">
        <v>Lindy</v>
      </c>
      <c r="AL15" t="str">
        <v>Guillet</v>
      </c>
      <c r="AM15" t="str">
        <v>Male</v>
      </c>
      <c r="AN15" t="str">
        <v>Training</v>
      </c>
      <c r="AO15">
        <v>112778.28</v>
      </c>
      <c r="AP15" t="str">
        <v>Above 100k</v>
      </c>
      <c r="AQ15" s="39">
        <v>43250</v>
      </c>
      <c r="AR15">
        <v>1</v>
      </c>
      <c r="AS15" t="str">
        <v>Fixed Term</v>
      </c>
      <c r="AT15" t="str">
        <v>Remote</v>
      </c>
      <c r="AU15">
        <v>6.065753424657534</v>
      </c>
      <c r="AV15" t="str">
        <v>Full time</v>
      </c>
    </row>
    <row r="16" spans="1:48" x14ac:dyDescent="0.25">
      <c r="B16" t="str" cm="1">
        <f t="array" ref="B16:D37">_xlfn._xlws.FILTER(staff[[Emp ID]:[Last Name]],MONTH(staff[Start Date])=3)</f>
        <v>SQ04612</v>
      </c>
      <c r="C16" t="str">
        <v>Mick</v>
      </c>
      <c r="D16" t="str">
        <v>Spraberry</v>
      </c>
      <c r="E16" t="str">
        <v>Monday</v>
      </c>
      <c r="F16" t="str">
        <v>TN01281</v>
      </c>
      <c r="G16" t="str">
        <v>Cletus</v>
      </c>
      <c r="H16" t="str">
        <v>McGarahan</v>
      </c>
      <c r="I16" s="57" t="str">
        <v>Female</v>
      </c>
      <c r="J16" t="str">
        <v>Engineering</v>
      </c>
      <c r="K16">
        <v>114425.19</v>
      </c>
      <c r="L16" t="str">
        <v>Above 100k</v>
      </c>
      <c r="M16" s="39">
        <v>43857</v>
      </c>
      <c r="N16">
        <v>1</v>
      </c>
      <c r="O16" t="str">
        <v>Permanent</v>
      </c>
      <c r="P16" t="str">
        <v>Wellington, New Zealand</v>
      </c>
      <c r="Q16">
        <v>4.4027397260273968</v>
      </c>
      <c r="R16" t="str">
        <v>Full time</v>
      </c>
      <c r="U16" t="str">
        <v>SQ00144</v>
      </c>
      <c r="V16" t="str">
        <v>Collen</v>
      </c>
      <c r="W16" t="str">
        <v>Dunbleton</v>
      </c>
      <c r="X16" t="str">
        <v>Male</v>
      </c>
      <c r="Y16" t="str">
        <v>Engineering</v>
      </c>
      <c r="Z16">
        <v>118976.16</v>
      </c>
      <c r="AA16" t="str">
        <v>Above 100k</v>
      </c>
      <c r="AB16" s="57">
        <v>44120</v>
      </c>
      <c r="AC16">
        <v>1</v>
      </c>
      <c r="AD16" t="str">
        <v>Permanent</v>
      </c>
      <c r="AE16" t="str">
        <v>Wellington, New Zealand</v>
      </c>
      <c r="AF16">
        <v>3.6821917808219178</v>
      </c>
      <c r="AG16" t="str">
        <v>Full time</v>
      </c>
      <c r="AJ16" t="str">
        <v>VT04350</v>
      </c>
      <c r="AK16" t="str">
        <v>Lalit</v>
      </c>
      <c r="AL16" t="str">
        <v>Kothari</v>
      </c>
      <c r="AM16" t="str">
        <v>Male</v>
      </c>
      <c r="AN16" t="str">
        <v>Business Development</v>
      </c>
      <c r="AO16">
        <v>106400.02</v>
      </c>
      <c r="AP16" t="str">
        <v>Above 100k</v>
      </c>
      <c r="AQ16" s="39">
        <v>44021</v>
      </c>
      <c r="AR16">
        <v>1</v>
      </c>
      <c r="AS16" t="str">
        <v>Temporary</v>
      </c>
      <c r="AT16" t="str">
        <v>Chennai, India</v>
      </c>
      <c r="AU16">
        <v>3.9534246575342467</v>
      </c>
      <c r="AV16" t="str">
        <v>Full time</v>
      </c>
    </row>
    <row r="17" spans="2:48" x14ac:dyDescent="0.25">
      <c r="B17" t="str">
        <v>PR00746</v>
      </c>
      <c r="C17" t="str">
        <v>Hogan</v>
      </c>
      <c r="D17" t="str">
        <v>Iles</v>
      </c>
      <c r="E17" t="str">
        <v>Monday</v>
      </c>
      <c r="F17" t="str">
        <v>VT04552</v>
      </c>
      <c r="G17" t="str">
        <v>Theresita</v>
      </c>
      <c r="H17" t="str">
        <v>Chasmer</v>
      </c>
      <c r="I17" s="57" t="str">
        <v>Female</v>
      </c>
      <c r="J17" t="str">
        <v>Product Management</v>
      </c>
      <c r="K17">
        <v>106665.67</v>
      </c>
      <c r="L17" t="str">
        <v>Above 100k</v>
      </c>
      <c r="M17" s="39">
        <v>43311</v>
      </c>
      <c r="N17">
        <v>1</v>
      </c>
      <c r="O17" t="str">
        <v>Temporary</v>
      </c>
      <c r="P17" t="str">
        <v>Columbus, USA</v>
      </c>
      <c r="Q17">
        <v>5.8986301369863012</v>
      </c>
      <c r="R17" t="str">
        <v>Full time</v>
      </c>
      <c r="U17" t="str">
        <v>SQ02174</v>
      </c>
      <c r="V17" t="str">
        <v>Sidoney</v>
      </c>
      <c r="W17" t="str">
        <v>Yitzhok</v>
      </c>
      <c r="X17" t="str">
        <v>Female</v>
      </c>
      <c r="Y17" t="str">
        <v>Engineering</v>
      </c>
      <c r="Z17">
        <v>118442.54</v>
      </c>
      <c r="AA17" t="str">
        <v>Above 100k</v>
      </c>
      <c r="AB17" s="57">
        <v>44193</v>
      </c>
      <c r="AC17">
        <v>1</v>
      </c>
      <c r="AD17" t="str">
        <v>Permanent</v>
      </c>
      <c r="AE17" t="str">
        <v>Auckland, New Zealand</v>
      </c>
      <c r="AF17">
        <v>3.4821917808219176</v>
      </c>
      <c r="AG17" t="str">
        <v>Full time</v>
      </c>
      <c r="AJ17" t="str">
        <v>VT00596</v>
      </c>
      <c r="AK17" t="str">
        <v>Letisha</v>
      </c>
      <c r="AL17" t="str">
        <v>Carrett</v>
      </c>
      <c r="AM17" t="str">
        <v>Female</v>
      </c>
      <c r="AN17" t="str">
        <v>Sales</v>
      </c>
      <c r="AO17">
        <v>84598.88</v>
      </c>
      <c r="AP17" t="str">
        <v>50k to 100k</v>
      </c>
      <c r="AQ17" s="39">
        <v>44116</v>
      </c>
      <c r="AR17">
        <v>1</v>
      </c>
      <c r="AS17" t="str">
        <v>Fixed Term</v>
      </c>
      <c r="AT17" t="str">
        <v>Seattle, USA</v>
      </c>
      <c r="AU17">
        <v>3.6931506849315068</v>
      </c>
      <c r="AV17" t="str">
        <v>Full time</v>
      </c>
    </row>
    <row r="18" spans="2:48" x14ac:dyDescent="0.25">
      <c r="B18" t="str">
        <v>VT03421</v>
      </c>
      <c r="C18" t="str">
        <v>Alic</v>
      </c>
      <c r="D18" t="str">
        <v>Bagg</v>
      </c>
      <c r="E18" t="str">
        <v>Monday</v>
      </c>
      <c r="F18" t="str">
        <v>TN04740</v>
      </c>
      <c r="G18" t="str">
        <v>Tristam</v>
      </c>
      <c r="H18" t="str">
        <v>Cuming</v>
      </c>
      <c r="I18" s="57" t="str">
        <v>Female</v>
      </c>
      <c r="J18" t="str">
        <v>Support</v>
      </c>
      <c r="K18">
        <v>104038.9</v>
      </c>
      <c r="L18" t="str">
        <v>Above 100k</v>
      </c>
      <c r="M18" s="39">
        <v>43815</v>
      </c>
      <c r="N18">
        <v>1</v>
      </c>
      <c r="O18" t="str">
        <v>Fixed Term</v>
      </c>
      <c r="P18" t="str">
        <v>Remote</v>
      </c>
      <c r="Q18">
        <v>4.5178082191780824</v>
      </c>
      <c r="R18" t="str">
        <v>Full time</v>
      </c>
      <c r="U18" t="str">
        <v>VT04093</v>
      </c>
      <c r="V18" t="str">
        <v>Prasanna</v>
      </c>
      <c r="W18" t="str">
        <v>Lakshmi</v>
      </c>
      <c r="X18" t="str">
        <v>Female</v>
      </c>
      <c r="Y18" t="str">
        <v>Training</v>
      </c>
      <c r="Z18">
        <v>116767.63</v>
      </c>
      <c r="AA18" t="str">
        <v>Above 100k</v>
      </c>
      <c r="AB18" s="57">
        <v>43949</v>
      </c>
      <c r="AC18">
        <v>0.4</v>
      </c>
      <c r="AD18" t="str">
        <v>Temporary</v>
      </c>
      <c r="AE18" t="str">
        <v>Chennai, India</v>
      </c>
      <c r="AF18">
        <v>4.1506849315068495</v>
      </c>
      <c r="AG18" t="str">
        <v>Part time</v>
      </c>
      <c r="AJ18" t="str">
        <v>VT00596</v>
      </c>
      <c r="AK18" t="str">
        <v>Letisha</v>
      </c>
      <c r="AL18" t="str">
        <v>Carrett</v>
      </c>
      <c r="AM18" t="str">
        <v>Female</v>
      </c>
      <c r="AN18" t="str">
        <v>Sales</v>
      </c>
      <c r="AO18">
        <v>84598.88</v>
      </c>
      <c r="AP18" t="str">
        <v>50k to 100k</v>
      </c>
      <c r="AQ18" s="39">
        <v>44116</v>
      </c>
      <c r="AR18">
        <v>1</v>
      </c>
      <c r="AS18" t="str">
        <v>Fixed Term</v>
      </c>
      <c r="AT18" t="str">
        <v>Seattle, USA</v>
      </c>
      <c r="AU18">
        <v>3.6931506849315068</v>
      </c>
      <c r="AV18" t="str">
        <v>Full time</v>
      </c>
    </row>
    <row r="19" spans="2:48" x14ac:dyDescent="0.25">
      <c r="B19" t="str">
        <v>VT03421</v>
      </c>
      <c r="C19" t="str">
        <v>Alic</v>
      </c>
      <c r="D19" t="str">
        <v>Bagg</v>
      </c>
      <c r="E19" t="str">
        <v>Monday</v>
      </c>
      <c r="F19" t="str">
        <v>SQ03491</v>
      </c>
      <c r="G19" t="str">
        <v>Freda</v>
      </c>
      <c r="H19" t="str">
        <v>Legan</v>
      </c>
      <c r="I19" s="57" t="str">
        <v>Female</v>
      </c>
      <c r="J19" t="str">
        <v>Sales</v>
      </c>
      <c r="K19">
        <v>102129.37</v>
      </c>
      <c r="L19" t="str">
        <v>Above 100k</v>
      </c>
      <c r="M19" s="39">
        <v>44396</v>
      </c>
      <c r="N19">
        <v>1</v>
      </c>
      <c r="O19" t="str">
        <v>Permanent</v>
      </c>
      <c r="P19" t="str">
        <v>Columbus, USA</v>
      </c>
      <c r="Q19">
        <v>2.9260273972602739</v>
      </c>
      <c r="R19" t="str">
        <v>Full time</v>
      </c>
      <c r="U19" t="str">
        <v>VT04093</v>
      </c>
      <c r="V19" t="str">
        <v>Baruna</v>
      </c>
      <c r="W19" t="str">
        <v>Ogale</v>
      </c>
      <c r="X19" t="str">
        <v>Female</v>
      </c>
      <c r="Y19" t="str">
        <v>Training</v>
      </c>
      <c r="Z19">
        <v>116767.63</v>
      </c>
      <c r="AA19" t="str">
        <v>Above 100k</v>
      </c>
      <c r="AB19" s="57">
        <v>43949</v>
      </c>
      <c r="AC19">
        <v>0.4</v>
      </c>
      <c r="AD19" t="str">
        <v>Temporary</v>
      </c>
      <c r="AE19" t="str">
        <v>Chennai, India</v>
      </c>
      <c r="AF19">
        <v>4.1506849315068495</v>
      </c>
      <c r="AG19" t="str">
        <v>Part time</v>
      </c>
      <c r="AJ19" t="str">
        <v>SQ00612</v>
      </c>
      <c r="AK19" t="str">
        <v>Leena</v>
      </c>
      <c r="AL19" t="str">
        <v>Bruckshaw</v>
      </c>
      <c r="AM19" t="str">
        <v>Male</v>
      </c>
      <c r="AN19" t="str">
        <v>Research and Development</v>
      </c>
      <c r="AO19">
        <v>74279.009999999995</v>
      </c>
      <c r="AP19" t="str">
        <v>50k to 100k</v>
      </c>
      <c r="AQ19" s="39">
        <v>43466</v>
      </c>
      <c r="AR19">
        <v>1</v>
      </c>
      <c r="AS19" t="str">
        <v>Permanent</v>
      </c>
      <c r="AT19" t="str">
        <v>Wellington, New Zealand</v>
      </c>
      <c r="AU19">
        <v>5.4739726027397264</v>
      </c>
      <c r="AV19" t="str">
        <v>Full time</v>
      </c>
    </row>
    <row r="20" spans="2:48" x14ac:dyDescent="0.25">
      <c r="B20" t="str">
        <v>VT04028</v>
      </c>
      <c r="C20" t="str">
        <v>Michale</v>
      </c>
      <c r="D20" t="str">
        <v>Rolf</v>
      </c>
      <c r="E20" t="str">
        <v>Monday</v>
      </c>
      <c r="F20" t="str">
        <v>TN04246</v>
      </c>
      <c r="G20" t="str">
        <v>Shaylyn</v>
      </c>
      <c r="H20" t="str">
        <v>Ransbury</v>
      </c>
      <c r="I20" s="57" t="str">
        <v>Female</v>
      </c>
      <c r="J20" t="str">
        <v>Support</v>
      </c>
      <c r="K20">
        <v>100371.31</v>
      </c>
      <c r="L20" t="str">
        <v>Above 100k</v>
      </c>
      <c r="M20" s="39">
        <v>44067</v>
      </c>
      <c r="N20">
        <v>0.8</v>
      </c>
      <c r="O20" t="str">
        <v>Fixed Term</v>
      </c>
      <c r="P20" t="str">
        <v>Auckland, New Zealand</v>
      </c>
      <c r="Q20">
        <v>3.8273972602739725</v>
      </c>
      <c r="R20" t="str">
        <v>Part time</v>
      </c>
      <c r="U20" t="str">
        <v>PR02010</v>
      </c>
      <c r="V20" t="str">
        <v>Prerana</v>
      </c>
      <c r="W20" t="str">
        <v>Nishita</v>
      </c>
      <c r="X20" t="str">
        <v>Male</v>
      </c>
      <c r="Y20" t="str">
        <v>Product Management</v>
      </c>
      <c r="Z20">
        <v>115191.38</v>
      </c>
      <c r="AA20" t="str">
        <v>Above 100k</v>
      </c>
      <c r="AB20" s="57">
        <v>44004</v>
      </c>
      <c r="AC20">
        <v>1</v>
      </c>
      <c r="AD20" t="str">
        <v>Permanent</v>
      </c>
      <c r="AE20" t="str">
        <v>Hyderabad, India</v>
      </c>
      <c r="AF20">
        <v>4</v>
      </c>
      <c r="AG20" t="str">
        <v>Full time</v>
      </c>
      <c r="AJ20" t="str">
        <v>TN04067</v>
      </c>
      <c r="AK20" t="str">
        <v>Lea</v>
      </c>
      <c r="AL20" t="str">
        <v>Chaplin</v>
      </c>
      <c r="AM20" t="str">
        <v>Female</v>
      </c>
      <c r="AN20" t="str">
        <v>Human Resources</v>
      </c>
      <c r="AO20">
        <v>73488.679999999993</v>
      </c>
      <c r="AP20" t="str">
        <v>50k to 100k</v>
      </c>
      <c r="AQ20" s="39">
        <v>43570</v>
      </c>
      <c r="AR20">
        <v>1</v>
      </c>
      <c r="AS20" t="str">
        <v>Fixed Term</v>
      </c>
      <c r="AT20" t="str">
        <v>Seattle, USA</v>
      </c>
      <c r="AU20">
        <v>5.1890410958904107</v>
      </c>
      <c r="AV20" t="str">
        <v>Full time</v>
      </c>
    </row>
    <row r="21" spans="2:48" x14ac:dyDescent="0.25">
      <c r="B21" t="str">
        <v>VT04028</v>
      </c>
      <c r="C21" t="str">
        <v>Michale</v>
      </c>
      <c r="D21" t="str">
        <v>Rolf</v>
      </c>
      <c r="E21" t="str">
        <v>Monday</v>
      </c>
      <c r="F21" t="str">
        <v>TN03575</v>
      </c>
      <c r="G21" t="str">
        <v>Janina</v>
      </c>
      <c r="H21" t="str">
        <v>Wolverson</v>
      </c>
      <c r="I21" s="57" t="str">
        <v>Female</v>
      </c>
      <c r="J21" t="str">
        <v>Research and Development</v>
      </c>
      <c r="K21">
        <v>99683.67</v>
      </c>
      <c r="L21" t="str">
        <v>50k to 100k</v>
      </c>
      <c r="M21" s="39">
        <v>43500</v>
      </c>
      <c r="N21">
        <v>1</v>
      </c>
      <c r="O21" t="str">
        <v>Fixed Term</v>
      </c>
      <c r="P21" t="str">
        <v>Seattle, USA</v>
      </c>
      <c r="Q21">
        <v>5.3808219178082188</v>
      </c>
      <c r="R21" t="str">
        <v>Full time</v>
      </c>
      <c r="U21" t="str">
        <v>SQ02624</v>
      </c>
      <c r="V21" t="str">
        <v>Gwenneth</v>
      </c>
      <c r="W21" t="str">
        <v>Fealey</v>
      </c>
      <c r="X21" t="str">
        <v>Female</v>
      </c>
      <c r="Y21" t="str">
        <v>Engineering</v>
      </c>
      <c r="Z21">
        <v>114772.32</v>
      </c>
      <c r="AA21" t="str">
        <v>Above 100k</v>
      </c>
      <c r="AB21" s="57">
        <v>44251</v>
      </c>
      <c r="AC21">
        <v>1</v>
      </c>
      <c r="AD21" t="str">
        <v>Permanent</v>
      </c>
      <c r="AE21" t="str">
        <v>Columbus, USA</v>
      </c>
      <c r="AF21">
        <v>3.3232876712328765</v>
      </c>
      <c r="AG21" t="str">
        <v>Full time</v>
      </c>
      <c r="AJ21" t="str">
        <v>PR00576</v>
      </c>
      <c r="AK21" t="str">
        <v>Lalitchandra</v>
      </c>
      <c r="AL21" t="str">
        <v>Vadali</v>
      </c>
      <c r="AM21" t="str">
        <v>Female</v>
      </c>
      <c r="AN21" t="str">
        <v>Legal</v>
      </c>
      <c r="AO21">
        <v>63705.4</v>
      </c>
      <c r="AP21" t="str">
        <v>50k to 100k</v>
      </c>
      <c r="AQ21" s="39">
        <v>43682</v>
      </c>
      <c r="AR21">
        <v>1</v>
      </c>
      <c r="AS21" t="str">
        <v>Permanent</v>
      </c>
      <c r="AT21" t="str">
        <v>Hyderabad, India</v>
      </c>
      <c r="AU21">
        <v>4.882191780821918</v>
      </c>
      <c r="AV21" t="str">
        <v>Full time</v>
      </c>
    </row>
    <row r="22" spans="2:48" x14ac:dyDescent="0.25">
      <c r="B22" t="str">
        <v>SQ00022</v>
      </c>
      <c r="C22" t="str">
        <v>Carlin</v>
      </c>
      <c r="D22" t="str">
        <v>Demke</v>
      </c>
      <c r="E22" t="str">
        <v>Monday</v>
      </c>
      <c r="F22" t="str">
        <v>TN03575</v>
      </c>
      <c r="G22" t="str">
        <v>Janina</v>
      </c>
      <c r="H22" t="str">
        <v>Wolverson</v>
      </c>
      <c r="I22" s="57" t="str">
        <v>Female</v>
      </c>
      <c r="J22" t="str">
        <v>Research and Development</v>
      </c>
      <c r="K22">
        <v>99683.67</v>
      </c>
      <c r="L22" t="str">
        <v>50k to 100k</v>
      </c>
      <c r="M22" s="39">
        <v>43500</v>
      </c>
      <c r="N22">
        <v>1</v>
      </c>
      <c r="O22" t="str">
        <v>Fixed Term</v>
      </c>
      <c r="P22" t="str">
        <v>Seattle, USA</v>
      </c>
      <c r="Q22">
        <v>5.3808219178082188</v>
      </c>
      <c r="R22" t="str">
        <v>Full time</v>
      </c>
      <c r="U22" t="str">
        <v>VT02801</v>
      </c>
      <c r="V22" t="str">
        <v>Shellysheldon</v>
      </c>
      <c r="W22" t="str">
        <v>Mahady</v>
      </c>
      <c r="X22" t="str">
        <v>Male</v>
      </c>
      <c r="Y22" t="str">
        <v>Training</v>
      </c>
      <c r="Z22">
        <v>114691.03</v>
      </c>
      <c r="AA22" t="str">
        <v>Above 100k</v>
      </c>
      <c r="AB22" s="57">
        <v>44039</v>
      </c>
      <c r="AC22">
        <v>1</v>
      </c>
      <c r="AD22" t="str">
        <v>Temporary</v>
      </c>
      <c r="AE22" t="str">
        <v>Wellington, New Zealand</v>
      </c>
      <c r="AF22">
        <v>3.904109589041096</v>
      </c>
      <c r="AG22" t="str">
        <v>Full time</v>
      </c>
      <c r="AJ22" t="str">
        <v>SQ00070</v>
      </c>
      <c r="AK22" t="str">
        <v>Larissa</v>
      </c>
      <c r="AL22" t="str">
        <v>Ingledow</v>
      </c>
      <c r="AM22" t="str">
        <v>Male</v>
      </c>
      <c r="AN22" t="str">
        <v>Research and Development</v>
      </c>
      <c r="AO22">
        <v>62281.24</v>
      </c>
      <c r="AP22" t="str">
        <v>50k to 100k</v>
      </c>
      <c r="AQ22" s="39">
        <v>43272</v>
      </c>
      <c r="AR22">
        <v>1</v>
      </c>
      <c r="AS22" t="str">
        <v>Permanent</v>
      </c>
      <c r="AT22" t="str">
        <v>Remote</v>
      </c>
      <c r="AU22">
        <v>6.0054794520547947</v>
      </c>
      <c r="AV22" t="str">
        <v>Full time</v>
      </c>
    </row>
    <row r="23" spans="2:48" x14ac:dyDescent="0.25">
      <c r="B23" t="str">
        <v>VT01762</v>
      </c>
      <c r="C23" t="str">
        <v>Geena</v>
      </c>
      <c r="D23" t="str">
        <v>Raghavanpillai</v>
      </c>
      <c r="E23" t="str">
        <v>Monday</v>
      </c>
      <c r="F23" t="str">
        <v>PR04686</v>
      </c>
      <c r="G23" t="str">
        <v>Oona</v>
      </c>
      <c r="H23" t="str">
        <v>Donan</v>
      </c>
      <c r="I23" s="57" t="str">
        <v>Female</v>
      </c>
      <c r="J23" t="str">
        <v>Business Development</v>
      </c>
      <c r="K23">
        <v>98000</v>
      </c>
      <c r="L23" t="str">
        <v>50k to 100k</v>
      </c>
      <c r="M23" s="39">
        <v>43710</v>
      </c>
      <c r="N23">
        <v>0.9</v>
      </c>
      <c r="O23" t="str">
        <v>Permanent</v>
      </c>
      <c r="P23" t="str">
        <v>Seattle, USA</v>
      </c>
      <c r="Q23">
        <v>4.8054794520547945</v>
      </c>
      <c r="R23" t="str">
        <v>Part time</v>
      </c>
      <c r="U23" t="str">
        <v>VT02491</v>
      </c>
      <c r="V23" t="str">
        <v>Alexis</v>
      </c>
      <c r="W23" t="str">
        <v>Gotfrey</v>
      </c>
      <c r="X23" t="str">
        <v>Male</v>
      </c>
      <c r="Y23" t="str">
        <v>Engineering</v>
      </c>
      <c r="Z23">
        <v>114465.93</v>
      </c>
      <c r="AA23" t="str">
        <v>Above 100k</v>
      </c>
      <c r="AB23" s="57">
        <v>43291</v>
      </c>
      <c r="AC23">
        <v>1</v>
      </c>
      <c r="AD23" t="str">
        <v>Temporary</v>
      </c>
      <c r="AE23" t="str">
        <v>Wellington, New Zealand</v>
      </c>
      <c r="AF23">
        <v>5.9534246575342467</v>
      </c>
      <c r="AG23" t="str">
        <v>Full time</v>
      </c>
      <c r="AJ23" t="str">
        <v>TN04892</v>
      </c>
      <c r="AK23" t="str">
        <v>Luca</v>
      </c>
      <c r="AL23" t="str">
        <v>Wolstenholme</v>
      </c>
      <c r="AM23" t="str">
        <v>Male</v>
      </c>
      <c r="AN23" t="str">
        <v>Engineering</v>
      </c>
      <c r="AO23">
        <v>53184.02</v>
      </c>
      <c r="AP23" t="str">
        <v>50k to 100k</v>
      </c>
      <c r="AQ23" s="39">
        <v>43180</v>
      </c>
      <c r="AR23">
        <v>1</v>
      </c>
      <c r="AS23" t="str">
        <v>Fixed Term</v>
      </c>
      <c r="AT23" t="str">
        <v>Remote</v>
      </c>
      <c r="AU23">
        <v>6.2575342465753421</v>
      </c>
      <c r="AV23" t="str">
        <v>Full time</v>
      </c>
    </row>
    <row r="24" spans="2:48" x14ac:dyDescent="0.25">
      <c r="B24" t="str">
        <v>VT01803</v>
      </c>
      <c r="C24" t="str">
        <v>Freddy</v>
      </c>
      <c r="D24" t="str">
        <v>Linford</v>
      </c>
      <c r="E24" t="str">
        <v>Monday</v>
      </c>
      <c r="F24" t="str">
        <v>PR00007</v>
      </c>
      <c r="G24" t="str">
        <v>Torrance</v>
      </c>
      <c r="H24" t="str">
        <v>Collier</v>
      </c>
      <c r="I24" s="57" t="str">
        <v>Female</v>
      </c>
      <c r="J24" t="str">
        <v>Training</v>
      </c>
      <c r="K24">
        <v>96135.75</v>
      </c>
      <c r="L24" t="str">
        <v>50k to 100k</v>
      </c>
      <c r="M24" s="39">
        <v>44025</v>
      </c>
      <c r="N24">
        <v>0.3</v>
      </c>
      <c r="O24" t="str">
        <v>Permanent</v>
      </c>
      <c r="P24" t="str">
        <v>Wellington, New Zealand</v>
      </c>
      <c r="Q24">
        <v>3.9424657534246577</v>
      </c>
      <c r="R24" t="str">
        <v>Part time</v>
      </c>
      <c r="U24" t="str">
        <v>TN01281</v>
      </c>
      <c r="V24" t="str">
        <v>Cletus</v>
      </c>
      <c r="W24" t="str">
        <v>McGarahan</v>
      </c>
      <c r="X24" t="str">
        <v>Female</v>
      </c>
      <c r="Y24" t="str">
        <v>Engineering</v>
      </c>
      <c r="Z24">
        <v>114425.19</v>
      </c>
      <c r="AA24" t="str">
        <v>Above 100k</v>
      </c>
      <c r="AB24" s="57">
        <v>43857</v>
      </c>
      <c r="AC24">
        <v>1</v>
      </c>
      <c r="AD24" t="str">
        <v>Permanent</v>
      </c>
      <c r="AE24" t="str">
        <v>Wellington, New Zealand</v>
      </c>
      <c r="AF24">
        <v>4.4027397260273968</v>
      </c>
      <c r="AG24" t="str">
        <v>Full time</v>
      </c>
      <c r="AJ24" t="str">
        <v>VT03849</v>
      </c>
      <c r="AK24" t="str">
        <v>Leonidas</v>
      </c>
      <c r="AL24" t="str">
        <v>Cavaney</v>
      </c>
      <c r="AM24" t="str">
        <v>Male</v>
      </c>
      <c r="AN24" t="str">
        <v>Accounting</v>
      </c>
      <c r="AO24">
        <v>52246.29</v>
      </c>
      <c r="AP24" t="str">
        <v>50k to 100k</v>
      </c>
      <c r="AQ24" s="39">
        <v>43573</v>
      </c>
      <c r="AR24">
        <v>1</v>
      </c>
      <c r="AS24" t="str">
        <v>Temporary</v>
      </c>
      <c r="AT24" t="str">
        <v>Wellington, New Zealand</v>
      </c>
      <c r="AU24">
        <v>5.1808219178082195</v>
      </c>
      <c r="AV24" t="str">
        <v>Full time</v>
      </c>
    </row>
    <row r="25" spans="2:48" x14ac:dyDescent="0.25">
      <c r="B25" t="str">
        <v>SQ00105</v>
      </c>
      <c r="C25" t="str">
        <v>Sarayu</v>
      </c>
      <c r="D25" t="str">
        <v>Ragunathan</v>
      </c>
      <c r="E25" t="str">
        <v>Monday</v>
      </c>
      <c r="F25" t="str">
        <v>SQ03626</v>
      </c>
      <c r="G25" t="str">
        <v>Krishnakanta</v>
      </c>
      <c r="H25" t="str">
        <v>Vellanki</v>
      </c>
      <c r="I25" s="57" t="str">
        <v>Female</v>
      </c>
      <c r="J25" t="str">
        <v>Training</v>
      </c>
      <c r="K25">
        <v>95677.9</v>
      </c>
      <c r="L25" t="str">
        <v>50k to 100k</v>
      </c>
      <c r="M25" s="39">
        <v>44396</v>
      </c>
      <c r="N25">
        <v>0.3</v>
      </c>
      <c r="O25" t="str">
        <v>Permanent</v>
      </c>
      <c r="P25" t="str">
        <v>Chennai, India</v>
      </c>
      <c r="Q25">
        <v>2.9260273972602739</v>
      </c>
      <c r="R25" t="str">
        <v>Part time</v>
      </c>
      <c r="U25" t="str">
        <v>PR00746</v>
      </c>
      <c r="V25" t="str">
        <v>Hogan</v>
      </c>
      <c r="W25" t="str">
        <v>Iles</v>
      </c>
      <c r="X25" t="str">
        <v>Female</v>
      </c>
      <c r="Y25" t="str">
        <v>Accounting</v>
      </c>
      <c r="Z25">
        <v>114177.23</v>
      </c>
      <c r="AA25" t="str">
        <v>Above 100k</v>
      </c>
      <c r="AB25" s="57">
        <v>43908</v>
      </c>
      <c r="AC25">
        <v>1</v>
      </c>
      <c r="AD25" t="str">
        <v>Permanent</v>
      </c>
      <c r="AE25" t="str">
        <v>Wellington, New Zealand</v>
      </c>
      <c r="AF25">
        <v>4.2630136986301368</v>
      </c>
      <c r="AG25" t="str">
        <v>Full time</v>
      </c>
      <c r="AJ25" t="str">
        <v>PR02275</v>
      </c>
      <c r="AK25" t="str">
        <v>Louise</v>
      </c>
      <c r="AL25" t="str">
        <v>Lamming</v>
      </c>
      <c r="AM25" t="str">
        <v>Female</v>
      </c>
      <c r="AN25" t="str">
        <v>Sales</v>
      </c>
      <c r="AO25">
        <v>41934.71</v>
      </c>
      <c r="AP25" t="str">
        <v>Under 50k</v>
      </c>
      <c r="AQ25" s="39">
        <v>43780</v>
      </c>
      <c r="AR25">
        <v>1</v>
      </c>
      <c r="AS25" t="str">
        <v>Permanent</v>
      </c>
      <c r="AT25" t="str">
        <v>Remote</v>
      </c>
      <c r="AU25">
        <v>4.6136986301369864</v>
      </c>
      <c r="AV25" t="str">
        <v>Full time</v>
      </c>
    </row>
    <row r="26" spans="2:48" x14ac:dyDescent="0.25">
      <c r="B26" t="str">
        <v>VT03993</v>
      </c>
      <c r="C26" t="str">
        <v>Dulce</v>
      </c>
      <c r="D26" t="str">
        <v>Colbeck</v>
      </c>
      <c r="E26" t="str">
        <v>Monday</v>
      </c>
      <c r="F26" t="str">
        <v>VT01803</v>
      </c>
      <c r="G26" t="str">
        <v>Freddy</v>
      </c>
      <c r="H26" t="str">
        <v>Linford</v>
      </c>
      <c r="I26" s="57" t="str">
        <v>Female</v>
      </c>
      <c r="J26" t="str">
        <v>Training</v>
      </c>
      <c r="K26">
        <v>93128.34</v>
      </c>
      <c r="L26" t="str">
        <v>50k to 100k</v>
      </c>
      <c r="M26" s="39">
        <v>43164</v>
      </c>
      <c r="N26">
        <v>1</v>
      </c>
      <c r="O26" t="str">
        <v>Fixed Term</v>
      </c>
      <c r="P26" t="str">
        <v>Seattle, USA</v>
      </c>
      <c r="Q26">
        <v>6.3013698630136989</v>
      </c>
      <c r="R26" t="str">
        <v>Full time</v>
      </c>
      <c r="U26" t="str">
        <v>VT03421</v>
      </c>
      <c r="V26" t="str">
        <v>Alic</v>
      </c>
      <c r="W26" t="str">
        <v>Bagg</v>
      </c>
      <c r="X26" t="str">
        <v>Male</v>
      </c>
      <c r="Y26" t="str">
        <v>Legal</v>
      </c>
      <c r="Z26">
        <v>113747.56</v>
      </c>
      <c r="AA26" t="str">
        <v>Above 100k</v>
      </c>
      <c r="AB26" s="57">
        <v>44270</v>
      </c>
      <c r="AC26">
        <v>0.7</v>
      </c>
      <c r="AD26" t="str">
        <v>Temporary</v>
      </c>
      <c r="AE26" t="str">
        <v>Columbus, USA</v>
      </c>
      <c r="AF26">
        <v>3.2712328767123289</v>
      </c>
      <c r="AG26" t="str">
        <v>Part time</v>
      </c>
      <c r="AJ26" t="str">
        <v>SQ00450</v>
      </c>
      <c r="AK26" t="str">
        <v>Louise</v>
      </c>
      <c r="AL26" t="str">
        <v>Lamming</v>
      </c>
      <c r="AM26" t="str">
        <v>Female</v>
      </c>
      <c r="AN26" t="str">
        <v>Sales</v>
      </c>
      <c r="AO26">
        <v>41934.71</v>
      </c>
      <c r="AP26" t="str">
        <v>Under 50k</v>
      </c>
      <c r="AQ26" s="39">
        <v>43943</v>
      </c>
      <c r="AR26">
        <v>1</v>
      </c>
      <c r="AS26" t="str">
        <v>Permanent</v>
      </c>
      <c r="AT26" t="str">
        <v>Remote</v>
      </c>
      <c r="AU26">
        <v>4.1671232876712327</v>
      </c>
      <c r="AV26" t="str">
        <v>Full time</v>
      </c>
    </row>
    <row r="27" spans="2:48" x14ac:dyDescent="0.25">
      <c r="B27" t="str">
        <v>SQ03625</v>
      </c>
      <c r="C27" t="str">
        <v>Fidela</v>
      </c>
      <c r="D27" t="str">
        <v>Artis</v>
      </c>
      <c r="E27" t="str">
        <v>Monday</v>
      </c>
      <c r="F27" t="str">
        <v>TN04175</v>
      </c>
      <c r="G27" t="str">
        <v>Hinda</v>
      </c>
      <c r="H27" t="str">
        <v>Label</v>
      </c>
      <c r="I27" s="57" t="str">
        <v>Female</v>
      </c>
      <c r="J27" t="str">
        <v>Human Resources</v>
      </c>
      <c r="K27">
        <v>92704.48</v>
      </c>
      <c r="L27" t="str">
        <v>50k to 100k</v>
      </c>
      <c r="M27" s="39">
        <v>43430</v>
      </c>
      <c r="N27">
        <v>1</v>
      </c>
      <c r="O27" t="str">
        <v>Fixed Term</v>
      </c>
      <c r="P27" t="str">
        <v>Columbus, USA</v>
      </c>
      <c r="Q27">
        <v>5.5726027397260278</v>
      </c>
      <c r="R27" t="str">
        <v>Full time</v>
      </c>
      <c r="U27" t="str">
        <v>VT03421</v>
      </c>
      <c r="V27" t="str">
        <v>Alic</v>
      </c>
      <c r="W27" t="str">
        <v>Bagg</v>
      </c>
      <c r="X27" t="str">
        <v>Male</v>
      </c>
      <c r="Y27" t="str">
        <v>Legal</v>
      </c>
      <c r="Z27">
        <v>113747.56</v>
      </c>
      <c r="AA27" t="str">
        <v>Above 100k</v>
      </c>
      <c r="AB27" s="57">
        <v>44270</v>
      </c>
      <c r="AC27">
        <v>0.7</v>
      </c>
      <c r="AD27" t="str">
        <v>Temporary</v>
      </c>
      <c r="AE27" t="str">
        <v>Columbus, USA</v>
      </c>
      <c r="AF27">
        <v>3.2712328767123289</v>
      </c>
      <c r="AG27" t="str">
        <v>Part time</v>
      </c>
    </row>
    <row r="28" spans="2:48" x14ac:dyDescent="0.25">
      <c r="B28" t="str">
        <v>SQ03112</v>
      </c>
      <c r="C28" t="str">
        <v>Kantimoy</v>
      </c>
      <c r="D28" t="str">
        <v>Pritish</v>
      </c>
      <c r="E28" t="str">
        <v>Monday</v>
      </c>
      <c r="F28" t="str">
        <v>PR04446</v>
      </c>
      <c r="G28" t="str">
        <v>Sameer</v>
      </c>
      <c r="H28" t="str">
        <v>Shashank</v>
      </c>
      <c r="I28" s="57" t="str">
        <v>Female</v>
      </c>
      <c r="J28" t="str">
        <v>Research and Development</v>
      </c>
      <c r="K28">
        <v>92336.08</v>
      </c>
      <c r="L28" t="str">
        <v>50k to 100k</v>
      </c>
      <c r="M28" s="39">
        <v>44431</v>
      </c>
      <c r="N28">
        <v>1</v>
      </c>
      <c r="O28" t="str">
        <v>Permanent</v>
      </c>
      <c r="P28" t="str">
        <v>Hyderabad, India</v>
      </c>
      <c r="Q28">
        <v>2.8301369863013699</v>
      </c>
      <c r="R28" t="str">
        <v>Full time</v>
      </c>
      <c r="U28" t="str">
        <v>SQ01620</v>
      </c>
      <c r="V28" t="str">
        <v>Westbrook</v>
      </c>
      <c r="W28" t="str">
        <v>Brandino</v>
      </c>
      <c r="X28" t="str">
        <v>Male</v>
      </c>
      <c r="Y28" t="str">
        <v>Legal</v>
      </c>
      <c r="Z28">
        <v>113616.23</v>
      </c>
      <c r="AA28" t="str">
        <v>Above 100k</v>
      </c>
      <c r="AB28" s="57">
        <v>43255</v>
      </c>
      <c r="AC28">
        <v>1</v>
      </c>
      <c r="AD28" t="str">
        <v>Permanent</v>
      </c>
      <c r="AE28" t="str">
        <v>Remote</v>
      </c>
      <c r="AF28">
        <v>6.0520547945205481</v>
      </c>
      <c r="AG28" t="str">
        <v>Full time</v>
      </c>
    </row>
    <row r="29" spans="2:48" x14ac:dyDescent="0.25">
      <c r="B29" t="str">
        <v>TN01601</v>
      </c>
      <c r="C29" t="str">
        <v>Melva</v>
      </c>
      <c r="D29" t="str">
        <v>Jickells</v>
      </c>
      <c r="E29" t="str">
        <v>Monday</v>
      </c>
      <c r="F29" t="str">
        <v>VT03701</v>
      </c>
      <c r="G29" t="str">
        <v>Narois</v>
      </c>
      <c r="H29" t="str">
        <v>Motiwala</v>
      </c>
      <c r="I29" s="57" t="str">
        <v>Female</v>
      </c>
      <c r="J29" t="str">
        <v>Product Management</v>
      </c>
      <c r="K29">
        <v>89829.33</v>
      </c>
      <c r="L29" t="str">
        <v>50k to 100k</v>
      </c>
      <c r="M29" s="39">
        <v>43794</v>
      </c>
      <c r="N29">
        <v>1</v>
      </c>
      <c r="O29" t="str">
        <v>Temporary</v>
      </c>
      <c r="P29" t="str">
        <v>Chennai, India</v>
      </c>
      <c r="Q29">
        <v>4.5753424657534243</v>
      </c>
      <c r="R29" t="str">
        <v>Full time</v>
      </c>
      <c r="U29" t="str">
        <v>VT01893</v>
      </c>
      <c r="V29" t="str">
        <v>Lindy</v>
      </c>
      <c r="W29" t="str">
        <v>Guillet</v>
      </c>
      <c r="X29" t="str">
        <v>Male</v>
      </c>
      <c r="Y29" t="str">
        <v>Training</v>
      </c>
      <c r="Z29">
        <v>112778.28</v>
      </c>
      <c r="AA29" t="str">
        <v>Above 100k</v>
      </c>
      <c r="AB29" s="57">
        <v>43250</v>
      </c>
      <c r="AC29">
        <v>1</v>
      </c>
      <c r="AD29" t="str">
        <v>Fixed Term</v>
      </c>
      <c r="AE29" t="str">
        <v>Remote</v>
      </c>
      <c r="AF29">
        <v>6.065753424657534</v>
      </c>
      <c r="AG29" t="str">
        <v>Full time</v>
      </c>
    </row>
    <row r="30" spans="2:48" x14ac:dyDescent="0.25">
      <c r="B30" t="str">
        <v>TN01601</v>
      </c>
      <c r="C30" t="str">
        <v>Melva</v>
      </c>
      <c r="D30" t="str">
        <v>Jickells</v>
      </c>
      <c r="E30" t="str">
        <v>Monday</v>
      </c>
      <c r="F30" t="str">
        <v>PR03158</v>
      </c>
      <c r="G30" t="str">
        <v>Danica</v>
      </c>
      <c r="H30" t="str">
        <v>Nayshe</v>
      </c>
      <c r="I30" s="57" t="str">
        <v>Female</v>
      </c>
      <c r="J30" t="str">
        <v>Services</v>
      </c>
      <c r="K30">
        <v>89690.38</v>
      </c>
      <c r="L30" t="str">
        <v>50k to 100k</v>
      </c>
      <c r="M30" s="39">
        <v>43206</v>
      </c>
      <c r="N30">
        <v>1</v>
      </c>
      <c r="O30" t="str">
        <v>Permanent</v>
      </c>
      <c r="P30" t="str">
        <v>Wellington, New Zealand</v>
      </c>
      <c r="Q30">
        <v>6.1863013698630134</v>
      </c>
      <c r="R30" t="str">
        <v>Full time</v>
      </c>
      <c r="U30" t="str">
        <v>VT01893</v>
      </c>
      <c r="V30" t="str">
        <v>Lindy</v>
      </c>
      <c r="W30" t="str">
        <v>Guillet</v>
      </c>
      <c r="X30" t="str">
        <v>Male</v>
      </c>
      <c r="Y30" t="str">
        <v>Training</v>
      </c>
      <c r="Z30">
        <v>112778.28</v>
      </c>
      <c r="AA30" t="str">
        <v>Above 100k</v>
      </c>
      <c r="AB30" s="57">
        <v>43250</v>
      </c>
      <c r="AC30">
        <v>1</v>
      </c>
      <c r="AD30" t="str">
        <v>Fixed Term</v>
      </c>
      <c r="AE30" t="str">
        <v>Remote</v>
      </c>
      <c r="AF30">
        <v>6.065753424657534</v>
      </c>
      <c r="AG30" t="str">
        <v>Full time</v>
      </c>
      <c r="AK30" s="73" t="s">
        <v>827</v>
      </c>
      <c r="AL30" s="73"/>
      <c r="AM30" s="73"/>
      <c r="AN30" s="73"/>
      <c r="AO30" s="73"/>
      <c r="AP30" s="73"/>
      <c r="AQ30" s="73"/>
    </row>
    <row r="31" spans="2:48" x14ac:dyDescent="0.25">
      <c r="B31" t="str">
        <v>VT02417</v>
      </c>
      <c r="C31" t="str">
        <v>Evangelina</v>
      </c>
      <c r="D31" t="str">
        <v>Lergan</v>
      </c>
      <c r="E31" t="str">
        <v>Monday</v>
      </c>
      <c r="F31" t="str">
        <v>SQ00841</v>
      </c>
      <c r="G31" t="str">
        <v>Bhuvan</v>
      </c>
      <c r="H31" t="str">
        <v>Pals</v>
      </c>
      <c r="I31" s="57" t="str">
        <v>Female</v>
      </c>
      <c r="J31" t="str">
        <v>Services</v>
      </c>
      <c r="K31">
        <v>89690.38</v>
      </c>
      <c r="L31" t="str">
        <v>50k to 100k</v>
      </c>
      <c r="M31" s="39">
        <v>43213</v>
      </c>
      <c r="N31">
        <v>1</v>
      </c>
      <c r="O31" t="str">
        <v>Permanent</v>
      </c>
      <c r="P31" t="str">
        <v>Hyderabad, India</v>
      </c>
      <c r="Q31">
        <v>6.1671232876712327</v>
      </c>
      <c r="R31" t="str">
        <v>Full time</v>
      </c>
      <c r="U31" t="str">
        <v>PR01159</v>
      </c>
      <c r="V31" t="str">
        <v>Mollie</v>
      </c>
      <c r="W31" t="str">
        <v>Hanway</v>
      </c>
      <c r="X31" t="str">
        <v>Male</v>
      </c>
      <c r="Y31" t="str">
        <v>Engineering</v>
      </c>
      <c r="Z31">
        <v>112645.99</v>
      </c>
      <c r="AA31" t="str">
        <v>Above 100k</v>
      </c>
      <c r="AB31" s="57">
        <v>43759</v>
      </c>
      <c r="AC31">
        <v>0.6</v>
      </c>
      <c r="AD31" t="str">
        <v>Permanent</v>
      </c>
      <c r="AE31" t="str">
        <v>Seattle, USA</v>
      </c>
      <c r="AF31">
        <v>4.6712328767123283</v>
      </c>
      <c r="AG31" t="str">
        <v>Part time</v>
      </c>
    </row>
    <row r="32" spans="2:48" x14ac:dyDescent="0.25">
      <c r="B32" t="str">
        <v>VT04415</v>
      </c>
      <c r="C32" t="str">
        <v>Malory</v>
      </c>
      <c r="D32" t="str">
        <v>Biles</v>
      </c>
      <c r="E32" t="str">
        <v>Monday</v>
      </c>
      <c r="F32" t="str">
        <v>SQ00105</v>
      </c>
      <c r="G32" t="str">
        <v>Sarayu</v>
      </c>
      <c r="H32" t="str">
        <v>Ragunathan</v>
      </c>
      <c r="I32" s="57" t="str">
        <v>Female</v>
      </c>
      <c r="J32" t="str">
        <v>Training</v>
      </c>
      <c r="K32">
        <v>86010.54</v>
      </c>
      <c r="L32" t="str">
        <v>50k to 100k</v>
      </c>
      <c r="M32" s="39">
        <v>43164</v>
      </c>
      <c r="N32">
        <v>1</v>
      </c>
      <c r="O32" t="str">
        <v>Permanent</v>
      </c>
      <c r="P32" t="str">
        <v>Chennai, India</v>
      </c>
      <c r="Q32">
        <v>6.3013698630136989</v>
      </c>
      <c r="R32" t="str">
        <v>Full time</v>
      </c>
      <c r="U32" t="str">
        <v>VT04028</v>
      </c>
      <c r="V32" t="str">
        <v>Michale</v>
      </c>
      <c r="W32" t="str">
        <v>Rolf</v>
      </c>
      <c r="X32" t="str">
        <v>Male</v>
      </c>
      <c r="Y32" t="str">
        <v>Services</v>
      </c>
      <c r="Z32">
        <v>111815.49</v>
      </c>
      <c r="AA32" t="str">
        <v>Above 100k</v>
      </c>
      <c r="AB32" s="57">
        <v>43895</v>
      </c>
      <c r="AC32">
        <v>0.7</v>
      </c>
      <c r="AD32" t="str">
        <v>Temporary</v>
      </c>
      <c r="AE32" t="str">
        <v>Remote</v>
      </c>
      <c r="AF32">
        <v>4.2986301369863016</v>
      </c>
      <c r="AG32" t="str">
        <v>Part time</v>
      </c>
      <c r="AJ32" t="str" cm="1">
        <f t="array" ref="AJ32:AV53">_xlfn._xlws.FILTER(U13:AG272,MONTH(AB13:AB272)=3)</f>
        <v>SQ04612</v>
      </c>
      <c r="AK32" t="str">
        <v>Mick</v>
      </c>
      <c r="AL32" t="str">
        <v>Spraberry</v>
      </c>
      <c r="AM32" t="str">
        <v>Female</v>
      </c>
      <c r="AN32" t="str">
        <v>Services</v>
      </c>
      <c r="AO32">
        <v>120000</v>
      </c>
      <c r="AP32" t="str">
        <v>Above 100k</v>
      </c>
      <c r="AQ32" s="39">
        <v>43902</v>
      </c>
      <c r="AR32">
        <v>0.9</v>
      </c>
      <c r="AS32" t="str">
        <v>Permanent</v>
      </c>
      <c r="AT32" t="str">
        <v>Remote</v>
      </c>
      <c r="AU32">
        <v>4.279452054794521</v>
      </c>
      <c r="AV32" t="str">
        <v>Part time</v>
      </c>
    </row>
    <row r="33" spans="2:48" x14ac:dyDescent="0.25">
      <c r="B33" t="str">
        <v>TN04892</v>
      </c>
      <c r="C33" t="str">
        <v>Luca</v>
      </c>
      <c r="D33" t="str">
        <v>Wolstenholme</v>
      </c>
      <c r="E33" t="str">
        <v>Monday</v>
      </c>
      <c r="F33" t="str">
        <v>SQ04613</v>
      </c>
      <c r="G33" t="str">
        <v>Sarojini</v>
      </c>
      <c r="H33" t="str">
        <v>Naueshwara</v>
      </c>
      <c r="I33" s="57" t="str">
        <v>Female</v>
      </c>
      <c r="J33" t="str">
        <v>Human Resources</v>
      </c>
      <c r="K33">
        <v>85264.38</v>
      </c>
      <c r="L33" t="str">
        <v>50k to 100k</v>
      </c>
      <c r="M33" s="39">
        <v>43220</v>
      </c>
      <c r="N33">
        <v>1</v>
      </c>
      <c r="O33" t="str">
        <v>Permanent</v>
      </c>
      <c r="P33" t="str">
        <v>Chennai, India</v>
      </c>
      <c r="Q33">
        <v>6.1479452054794521</v>
      </c>
      <c r="R33" t="str">
        <v>Full time</v>
      </c>
      <c r="U33" t="str">
        <v>VT04028</v>
      </c>
      <c r="V33" t="str">
        <v>Michale</v>
      </c>
      <c r="W33" t="str">
        <v>Rolf</v>
      </c>
      <c r="X33" t="str">
        <v>Male</v>
      </c>
      <c r="Y33" t="str">
        <v>Services</v>
      </c>
      <c r="Z33">
        <v>111815.49</v>
      </c>
      <c r="AA33" t="str">
        <v>Above 100k</v>
      </c>
      <c r="AB33" s="57">
        <v>43895</v>
      </c>
      <c r="AC33">
        <v>0.7</v>
      </c>
      <c r="AD33" t="str">
        <v>Temporary</v>
      </c>
      <c r="AE33" t="str">
        <v>Remote</v>
      </c>
      <c r="AF33">
        <v>4.2986301369863016</v>
      </c>
      <c r="AG33" t="str">
        <v>Part time</v>
      </c>
      <c r="AJ33" t="str">
        <v>PR00746</v>
      </c>
      <c r="AK33" t="str">
        <v>Hogan</v>
      </c>
      <c r="AL33" t="str">
        <v>Iles</v>
      </c>
      <c r="AM33" t="str">
        <v>Female</v>
      </c>
      <c r="AN33" t="str">
        <v>Accounting</v>
      </c>
      <c r="AO33">
        <v>114177.23</v>
      </c>
      <c r="AP33" t="str">
        <v>Above 100k</v>
      </c>
      <c r="AQ33" s="39">
        <v>43908</v>
      </c>
      <c r="AR33">
        <v>1</v>
      </c>
      <c r="AS33" t="str">
        <v>Permanent</v>
      </c>
      <c r="AT33" t="str">
        <v>Wellington, New Zealand</v>
      </c>
      <c r="AU33">
        <v>4.2630136986301368</v>
      </c>
      <c r="AV33" t="str">
        <v>Full time</v>
      </c>
    </row>
    <row r="34" spans="2:48" x14ac:dyDescent="0.25">
      <c r="B34" t="str">
        <v>PR00893</v>
      </c>
      <c r="C34" t="str">
        <v>Vasavi</v>
      </c>
      <c r="D34" t="str">
        <v>Veeravasarapu</v>
      </c>
      <c r="E34" t="str">
        <v>Monday</v>
      </c>
      <c r="F34" t="str">
        <v>TN02883</v>
      </c>
      <c r="G34" t="str">
        <v>John</v>
      </c>
      <c r="H34" t="str">
        <v>Joseph</v>
      </c>
      <c r="I34" s="57" t="str">
        <v>Female</v>
      </c>
      <c r="J34" t="str">
        <v>Sales</v>
      </c>
      <c r="K34">
        <v>84762.76</v>
      </c>
      <c r="L34" t="str">
        <v>50k to 100k</v>
      </c>
      <c r="M34" s="39">
        <v>43332</v>
      </c>
      <c r="N34">
        <v>1</v>
      </c>
      <c r="O34" t="str">
        <v>Permanent</v>
      </c>
      <c r="P34" t="str">
        <v>Hyderabad, India</v>
      </c>
      <c r="Q34">
        <v>5.8410958904109593</v>
      </c>
      <c r="R34" t="str">
        <v>Full time</v>
      </c>
      <c r="U34" t="str">
        <v>SQ04603</v>
      </c>
      <c r="V34" t="str">
        <v>Natalee</v>
      </c>
      <c r="W34" t="str">
        <v>Craiker</v>
      </c>
      <c r="X34" t="str">
        <v>Male</v>
      </c>
      <c r="Y34" t="str">
        <v>Product Management</v>
      </c>
      <c r="Z34">
        <v>111229.47</v>
      </c>
      <c r="AA34" t="str">
        <v>Above 100k</v>
      </c>
      <c r="AB34" s="57">
        <v>43402</v>
      </c>
      <c r="AC34">
        <v>1</v>
      </c>
      <c r="AD34" t="str">
        <v>Permanent</v>
      </c>
      <c r="AE34" t="str">
        <v>Remote</v>
      </c>
      <c r="AF34">
        <v>5.6493150684931503</v>
      </c>
      <c r="AG34" t="str">
        <v>Full time</v>
      </c>
      <c r="AJ34" t="str">
        <v>VT03421</v>
      </c>
      <c r="AK34" t="str">
        <v>Alic</v>
      </c>
      <c r="AL34" t="str">
        <v>Bagg</v>
      </c>
      <c r="AM34" t="str">
        <v>Male</v>
      </c>
      <c r="AN34" t="str">
        <v>Legal</v>
      </c>
      <c r="AO34">
        <v>113747.56</v>
      </c>
      <c r="AP34" t="str">
        <v>Above 100k</v>
      </c>
      <c r="AQ34" s="39">
        <v>44270</v>
      </c>
      <c r="AR34">
        <v>0.7</v>
      </c>
      <c r="AS34" t="str">
        <v>Temporary</v>
      </c>
      <c r="AT34" t="str">
        <v>Columbus, USA</v>
      </c>
      <c r="AU34">
        <v>3.2712328767123289</v>
      </c>
      <c r="AV34" t="str">
        <v>Part time</v>
      </c>
    </row>
    <row r="35" spans="2:48" x14ac:dyDescent="0.25">
      <c r="B35" t="str">
        <v>SQ01519</v>
      </c>
      <c r="C35" t="str">
        <v>Caron</v>
      </c>
      <c r="D35" t="str">
        <v>Kolakovic</v>
      </c>
      <c r="E35" t="str">
        <v>Monday</v>
      </c>
      <c r="F35" t="str">
        <v>VT00596</v>
      </c>
      <c r="G35" t="str">
        <v>Letisha</v>
      </c>
      <c r="H35" t="str">
        <v>Carrett</v>
      </c>
      <c r="I35" s="57" t="str">
        <v>Female</v>
      </c>
      <c r="J35" t="str">
        <v>Sales</v>
      </c>
      <c r="K35">
        <v>84598.88</v>
      </c>
      <c r="L35" t="str">
        <v>50k to 100k</v>
      </c>
      <c r="M35" s="39">
        <v>44116</v>
      </c>
      <c r="N35">
        <v>1</v>
      </c>
      <c r="O35" t="str">
        <v>Fixed Term</v>
      </c>
      <c r="P35" t="str">
        <v>Seattle, USA</v>
      </c>
      <c r="Q35">
        <v>3.6931506849315068</v>
      </c>
      <c r="R35" t="str">
        <v>Full time</v>
      </c>
      <c r="U35" t="str">
        <v>SQ00498</v>
      </c>
      <c r="V35" t="str">
        <v>Amery</v>
      </c>
      <c r="W35" t="str">
        <v>Ofer</v>
      </c>
      <c r="X35" t="str">
        <v>Female</v>
      </c>
      <c r="Y35" t="str">
        <v>Legal</v>
      </c>
      <c r="Z35">
        <v>111049.84</v>
      </c>
      <c r="AA35" t="str">
        <v>Above 100k</v>
      </c>
      <c r="AB35" s="57">
        <v>44393</v>
      </c>
      <c r="AC35">
        <v>1</v>
      </c>
      <c r="AD35" t="str">
        <v>Permanent</v>
      </c>
      <c r="AE35" t="str">
        <v>Wellington, New Zealand</v>
      </c>
      <c r="AF35">
        <v>2.9342465753424656</v>
      </c>
      <c r="AG35" t="str">
        <v>Full time</v>
      </c>
      <c r="AJ35" t="str">
        <v>VT03421</v>
      </c>
      <c r="AK35" t="str">
        <v>Alic</v>
      </c>
      <c r="AL35" t="str">
        <v>Bagg</v>
      </c>
      <c r="AM35" t="str">
        <v>Male</v>
      </c>
      <c r="AN35" t="str">
        <v>Legal</v>
      </c>
      <c r="AO35">
        <v>113747.56</v>
      </c>
      <c r="AP35" t="str">
        <v>Above 100k</v>
      </c>
      <c r="AQ35" s="39">
        <v>44270</v>
      </c>
      <c r="AR35">
        <v>0.7</v>
      </c>
      <c r="AS35" t="str">
        <v>Temporary</v>
      </c>
      <c r="AT35" t="str">
        <v>Columbus, USA</v>
      </c>
      <c r="AU35">
        <v>3.2712328767123289</v>
      </c>
      <c r="AV35" t="str">
        <v>Part time</v>
      </c>
    </row>
    <row r="36" spans="2:48" x14ac:dyDescent="0.25">
      <c r="B36" t="str">
        <v>TN01256</v>
      </c>
      <c r="C36" t="str">
        <v>Shattesh</v>
      </c>
      <c r="D36" t="str">
        <v>Utpat</v>
      </c>
      <c r="E36" t="str">
        <v>Monday</v>
      </c>
      <c r="F36" t="str">
        <v>VT00596</v>
      </c>
      <c r="G36" t="str">
        <v>Letisha</v>
      </c>
      <c r="H36" t="str">
        <v>Carrett</v>
      </c>
      <c r="I36" s="57" t="str">
        <v>Female</v>
      </c>
      <c r="J36" t="str">
        <v>Sales</v>
      </c>
      <c r="K36">
        <v>84598.88</v>
      </c>
      <c r="L36" t="str">
        <v>50k to 100k</v>
      </c>
      <c r="M36" s="39">
        <v>44116</v>
      </c>
      <c r="N36">
        <v>1</v>
      </c>
      <c r="O36" t="str">
        <v>Fixed Term</v>
      </c>
      <c r="P36" t="str">
        <v>Seattle, USA</v>
      </c>
      <c r="Q36">
        <v>3.6931506849315068</v>
      </c>
      <c r="R36" t="str">
        <v>Full time</v>
      </c>
      <c r="U36" t="str">
        <v>VT04681</v>
      </c>
      <c r="V36" t="str">
        <v>Nickolai</v>
      </c>
      <c r="W36" t="str">
        <v>Artin</v>
      </c>
      <c r="X36" t="str">
        <v>Female</v>
      </c>
      <c r="Y36" t="str">
        <v>Product Management</v>
      </c>
      <c r="Z36">
        <v>110906.35</v>
      </c>
      <c r="AA36" t="str">
        <v>Above 100k</v>
      </c>
      <c r="AB36" s="57">
        <v>43434</v>
      </c>
      <c r="AC36">
        <v>1</v>
      </c>
      <c r="AD36" t="str">
        <v>Temporary</v>
      </c>
      <c r="AE36" t="str">
        <v>Wellington, New Zealand</v>
      </c>
      <c r="AF36">
        <v>5.5616438356164384</v>
      </c>
      <c r="AG36" t="str">
        <v>Full time</v>
      </c>
      <c r="AJ36" t="str">
        <v>VT04028</v>
      </c>
      <c r="AK36" t="str">
        <v>Michale</v>
      </c>
      <c r="AL36" t="str">
        <v>Rolf</v>
      </c>
      <c r="AM36" t="str">
        <v>Male</v>
      </c>
      <c r="AN36" t="str">
        <v>Services</v>
      </c>
      <c r="AO36">
        <v>111815.49</v>
      </c>
      <c r="AP36" t="str">
        <v>Above 100k</v>
      </c>
      <c r="AQ36" s="39">
        <v>43895</v>
      </c>
      <c r="AR36">
        <v>0.7</v>
      </c>
      <c r="AS36" t="str">
        <v>Temporary</v>
      </c>
      <c r="AT36" t="str">
        <v>Remote</v>
      </c>
      <c r="AU36">
        <v>4.2986301369863016</v>
      </c>
      <c r="AV36" t="str">
        <v>Part time</v>
      </c>
    </row>
    <row r="37" spans="2:48" x14ac:dyDescent="0.25">
      <c r="B37" t="str">
        <v>TN01256</v>
      </c>
      <c r="C37" t="str">
        <v>Sawini</v>
      </c>
      <c r="D37" t="str">
        <v>Chandan</v>
      </c>
      <c r="E37" t="str">
        <v>Monday</v>
      </c>
      <c r="F37" t="str">
        <v>PR00916</v>
      </c>
      <c r="G37" t="str">
        <v>Inger</v>
      </c>
      <c r="H37" t="str">
        <v>Chapelhow</v>
      </c>
      <c r="I37" s="57" t="str">
        <v>Female</v>
      </c>
      <c r="J37" t="str">
        <v>Research and Development</v>
      </c>
      <c r="K37">
        <v>84309.95</v>
      </c>
      <c r="L37" t="str">
        <v>50k to 100k</v>
      </c>
      <c r="M37" s="39">
        <v>44501</v>
      </c>
      <c r="N37">
        <v>1</v>
      </c>
      <c r="O37" t="str">
        <v>Permanent</v>
      </c>
      <c r="P37" t="str">
        <v>Remote</v>
      </c>
      <c r="Q37">
        <v>2.6383561643835618</v>
      </c>
      <c r="R37" t="str">
        <v>Full time</v>
      </c>
      <c r="U37" t="str">
        <v>SQ00022</v>
      </c>
      <c r="V37" t="str">
        <v>Carlin</v>
      </c>
      <c r="W37" t="str">
        <v>Demke</v>
      </c>
      <c r="X37" t="str">
        <v>Male</v>
      </c>
      <c r="Y37" t="str">
        <v>Business Development</v>
      </c>
      <c r="Z37">
        <v>110042.37</v>
      </c>
      <c r="AA37" t="str">
        <v>Above 100k</v>
      </c>
      <c r="AB37" s="57">
        <v>43914</v>
      </c>
      <c r="AC37">
        <v>1</v>
      </c>
      <c r="AD37" t="str">
        <v>Permanent</v>
      </c>
      <c r="AE37" t="str">
        <v>Columbus, USA</v>
      </c>
      <c r="AF37">
        <v>4.2465753424657535</v>
      </c>
      <c r="AG37" t="str">
        <v>Full time</v>
      </c>
      <c r="AJ37" t="str">
        <v>VT04028</v>
      </c>
      <c r="AK37" t="str">
        <v>Michale</v>
      </c>
      <c r="AL37" t="str">
        <v>Rolf</v>
      </c>
      <c r="AM37" t="str">
        <v>Male</v>
      </c>
      <c r="AN37" t="str">
        <v>Services</v>
      </c>
      <c r="AO37">
        <v>111815.49</v>
      </c>
      <c r="AP37" t="str">
        <v>Above 100k</v>
      </c>
      <c r="AQ37" s="39">
        <v>43895</v>
      </c>
      <c r="AR37">
        <v>0.7</v>
      </c>
      <c r="AS37" t="str">
        <v>Temporary</v>
      </c>
      <c r="AT37" t="str">
        <v>Remote</v>
      </c>
      <c r="AU37">
        <v>4.2986301369863016</v>
      </c>
      <c r="AV37" t="str">
        <v>Part time</v>
      </c>
    </row>
    <row r="38" spans="2:48" x14ac:dyDescent="0.25">
      <c r="E38" t="str">
        <v>Monday</v>
      </c>
      <c r="F38" t="str">
        <v>PR00113</v>
      </c>
      <c r="G38" t="str">
        <v>Van</v>
      </c>
      <c r="H38" t="str">
        <v>Tuxwell</v>
      </c>
      <c r="I38" s="57" t="str">
        <v>Female</v>
      </c>
      <c r="J38" t="str">
        <v>Business Growth</v>
      </c>
      <c r="K38">
        <v>80695.740000000005</v>
      </c>
      <c r="L38" t="str">
        <v>50k to 100k</v>
      </c>
      <c r="M38" s="39">
        <v>43360</v>
      </c>
      <c r="N38">
        <v>1</v>
      </c>
      <c r="O38" t="str">
        <v>Permanent</v>
      </c>
      <c r="P38" t="str">
        <v>Columbus, USA</v>
      </c>
      <c r="Q38">
        <v>5.7643835616438359</v>
      </c>
      <c r="R38" t="str">
        <v>Full time</v>
      </c>
      <c r="U38" t="str">
        <v>TN00579</v>
      </c>
      <c r="V38" t="str">
        <v>Rafaelita</v>
      </c>
      <c r="W38" t="str">
        <v>Blaksland</v>
      </c>
      <c r="X38" t="str">
        <v>Female</v>
      </c>
      <c r="Y38" t="str">
        <v>Services</v>
      </c>
      <c r="Z38">
        <v>109163.39</v>
      </c>
      <c r="AA38" t="str">
        <v>Above 100k</v>
      </c>
      <c r="AB38" s="57">
        <v>44019</v>
      </c>
      <c r="AC38">
        <v>0.8</v>
      </c>
      <c r="AD38" t="str">
        <v>Permanent</v>
      </c>
      <c r="AE38" t="str">
        <v>Seattle, USA</v>
      </c>
      <c r="AF38">
        <v>3.9589041095890409</v>
      </c>
      <c r="AG38" t="str">
        <v>Part time</v>
      </c>
      <c r="AJ38" t="str">
        <v>SQ00022</v>
      </c>
      <c r="AK38" t="str">
        <v>Carlin</v>
      </c>
      <c r="AL38" t="str">
        <v>Demke</v>
      </c>
      <c r="AM38" t="str">
        <v>Male</v>
      </c>
      <c r="AN38" t="str">
        <v>Business Development</v>
      </c>
      <c r="AO38">
        <v>110042.37</v>
      </c>
      <c r="AP38" t="str">
        <v>Above 100k</v>
      </c>
      <c r="AQ38" s="39">
        <v>43914</v>
      </c>
      <c r="AR38">
        <v>1</v>
      </c>
      <c r="AS38" t="str">
        <v>Permanent</v>
      </c>
      <c r="AT38" t="str">
        <v>Columbus, USA</v>
      </c>
      <c r="AU38">
        <v>4.2465753424657535</v>
      </c>
      <c r="AV38" t="str">
        <v>Full time</v>
      </c>
    </row>
    <row r="39" spans="2:48" x14ac:dyDescent="0.25">
      <c r="E39" t="str">
        <v>Monday</v>
      </c>
      <c r="F39" t="str">
        <v>PR00113</v>
      </c>
      <c r="G39" t="str">
        <v>Van</v>
      </c>
      <c r="H39" t="str">
        <v>Tuxwell</v>
      </c>
      <c r="I39" s="57" t="str">
        <v>Female</v>
      </c>
      <c r="J39" t="str">
        <v>Business Development</v>
      </c>
      <c r="K39">
        <v>80695.740000000005</v>
      </c>
      <c r="L39" t="str">
        <v>50k to 100k</v>
      </c>
      <c r="M39" s="39">
        <v>43360</v>
      </c>
      <c r="N39">
        <v>1</v>
      </c>
      <c r="O39" t="str">
        <v>Permanent</v>
      </c>
      <c r="P39" t="str">
        <v>Columbus, USA</v>
      </c>
      <c r="Q39">
        <v>5.7643835616438359</v>
      </c>
      <c r="R39" t="str">
        <v>Full time</v>
      </c>
      <c r="U39" t="str">
        <v>SQ03733</v>
      </c>
      <c r="V39" t="str">
        <v>Revkah</v>
      </c>
      <c r="W39" t="str">
        <v>Antonacci</v>
      </c>
      <c r="X39" t="str">
        <v>Male</v>
      </c>
      <c r="Y39" t="str">
        <v>Engineering</v>
      </c>
      <c r="Z39">
        <v>109143.17</v>
      </c>
      <c r="AA39" t="str">
        <v>Above 100k</v>
      </c>
      <c r="AB39" s="57">
        <v>43945</v>
      </c>
      <c r="AC39">
        <v>1</v>
      </c>
      <c r="AD39" t="str">
        <v>Permanent</v>
      </c>
      <c r="AE39" t="str">
        <v>Wellington, New Zealand</v>
      </c>
      <c r="AF39">
        <v>4.161643835616438</v>
      </c>
      <c r="AG39" t="str">
        <v>Full time</v>
      </c>
      <c r="AJ39" t="str">
        <v>VT01762</v>
      </c>
      <c r="AK39" t="str">
        <v>Geena</v>
      </c>
      <c r="AL39" t="str">
        <v>Raghavanpillai</v>
      </c>
      <c r="AM39" t="str">
        <v>Male</v>
      </c>
      <c r="AN39" t="str">
        <v>Accounting</v>
      </c>
      <c r="AO39">
        <v>102515.81</v>
      </c>
      <c r="AP39" t="str">
        <v>Above 100k</v>
      </c>
      <c r="AQ39" s="39">
        <v>43902</v>
      </c>
      <c r="AR39">
        <v>1</v>
      </c>
      <c r="AS39" t="str">
        <v>Fixed Term</v>
      </c>
      <c r="AT39" t="str">
        <v>Chennai, India</v>
      </c>
      <c r="AU39">
        <v>4.279452054794521</v>
      </c>
      <c r="AV39" t="str">
        <v>Full time</v>
      </c>
    </row>
    <row r="40" spans="2:48" x14ac:dyDescent="0.25">
      <c r="E40" t="str">
        <v>Monday</v>
      </c>
      <c r="F40" t="str">
        <v>PR04380</v>
      </c>
      <c r="G40" t="str">
        <v>Van</v>
      </c>
      <c r="H40" t="str">
        <v>Tuxwell</v>
      </c>
      <c r="I40" s="57" t="str">
        <v>Female</v>
      </c>
      <c r="J40" t="str">
        <v>Business Development</v>
      </c>
      <c r="K40">
        <v>80695.740000000005</v>
      </c>
      <c r="L40" t="str">
        <v>50k to 100k</v>
      </c>
      <c r="M40" s="39">
        <v>43787</v>
      </c>
      <c r="N40">
        <v>0.8</v>
      </c>
      <c r="O40" t="str">
        <v>Permanent</v>
      </c>
      <c r="P40" t="str">
        <v>Columbus, USA</v>
      </c>
      <c r="Q40">
        <v>4.5945205479452058</v>
      </c>
      <c r="R40" t="str">
        <v>Part time</v>
      </c>
      <c r="U40" t="str">
        <v>SQ03116</v>
      </c>
      <c r="V40" t="str">
        <v>Syd</v>
      </c>
      <c r="W40" t="str">
        <v>Fearn</v>
      </c>
      <c r="X40" t="str">
        <v>Male</v>
      </c>
      <c r="Y40" t="str">
        <v>Engineering</v>
      </c>
      <c r="Z40">
        <v>108872.77</v>
      </c>
      <c r="AA40" t="str">
        <v>Above 100k</v>
      </c>
      <c r="AB40" s="57">
        <v>43521</v>
      </c>
      <c r="AC40">
        <v>1</v>
      </c>
      <c r="AD40" t="str">
        <v>Permanent</v>
      </c>
      <c r="AE40" t="str">
        <v>Remote</v>
      </c>
      <c r="AF40">
        <v>5.3232876712328769</v>
      </c>
      <c r="AG40" t="str">
        <v>Full time</v>
      </c>
      <c r="AJ40" t="str">
        <v>VT01803</v>
      </c>
      <c r="AK40" t="str">
        <v>Freddy</v>
      </c>
      <c r="AL40" t="str">
        <v>Linford</v>
      </c>
      <c r="AM40" t="str">
        <v>Female</v>
      </c>
      <c r="AN40" t="str">
        <v>Training</v>
      </c>
      <c r="AO40">
        <v>93128.34</v>
      </c>
      <c r="AP40" t="str">
        <v>50k to 100k</v>
      </c>
      <c r="AQ40" s="39">
        <v>43164</v>
      </c>
      <c r="AR40">
        <v>1</v>
      </c>
      <c r="AS40" t="str">
        <v>Fixed Term</v>
      </c>
      <c r="AT40" t="str">
        <v>Seattle, USA</v>
      </c>
      <c r="AU40">
        <v>6.3013698630136989</v>
      </c>
      <c r="AV40" t="str">
        <v>Full time</v>
      </c>
    </row>
    <row r="41" spans="2:48" x14ac:dyDescent="0.25">
      <c r="E41" t="str">
        <v>Monday</v>
      </c>
      <c r="F41" t="str">
        <v>PR02436</v>
      </c>
      <c r="G41" t="str">
        <v>Marmaduke</v>
      </c>
      <c r="H41" t="str">
        <v>Worssam</v>
      </c>
      <c r="I41" s="57" t="str">
        <v>Female</v>
      </c>
      <c r="J41" t="str">
        <v>Engineering</v>
      </c>
      <c r="K41">
        <v>78378.2</v>
      </c>
      <c r="L41" t="str">
        <v>50k to 100k</v>
      </c>
      <c r="M41" s="39">
        <v>43465</v>
      </c>
      <c r="N41">
        <v>0.4</v>
      </c>
      <c r="O41" t="str">
        <v>Permanent</v>
      </c>
      <c r="P41" t="str">
        <v>Remote</v>
      </c>
      <c r="Q41">
        <v>5.4767123287671229</v>
      </c>
      <c r="R41" t="str">
        <v>Part time</v>
      </c>
      <c r="U41" t="str">
        <v>SQ03476</v>
      </c>
      <c r="V41" t="str">
        <v>Ramalingam</v>
      </c>
      <c r="W41" t="str">
        <v>Kothapeta</v>
      </c>
      <c r="X41" t="str">
        <v>Need to check</v>
      </c>
      <c r="Y41" t="str">
        <v>Accounting</v>
      </c>
      <c r="Z41">
        <v>107107.6</v>
      </c>
      <c r="AA41" t="str">
        <v>Above 100k</v>
      </c>
      <c r="AB41" s="57">
        <v>43325</v>
      </c>
      <c r="AC41">
        <v>0.9</v>
      </c>
      <c r="AD41" t="str">
        <v>Permanent</v>
      </c>
      <c r="AE41" t="str">
        <v>Chennai, India</v>
      </c>
      <c r="AF41">
        <v>5.86027397260274</v>
      </c>
      <c r="AG41" t="str">
        <v>Part time</v>
      </c>
      <c r="AJ41" t="str">
        <v>SQ00105</v>
      </c>
      <c r="AK41" t="str">
        <v>Sarayu</v>
      </c>
      <c r="AL41" t="str">
        <v>Ragunathan</v>
      </c>
      <c r="AM41" t="str">
        <v>Female</v>
      </c>
      <c r="AN41" t="str">
        <v>Training</v>
      </c>
      <c r="AO41">
        <v>86010.54</v>
      </c>
      <c r="AP41" t="str">
        <v>50k to 100k</v>
      </c>
      <c r="AQ41" s="39">
        <v>43164</v>
      </c>
      <c r="AR41">
        <v>1</v>
      </c>
      <c r="AS41" t="str">
        <v>Permanent</v>
      </c>
      <c r="AT41" t="str">
        <v>Chennai, India</v>
      </c>
      <c r="AU41">
        <v>6.3013698630136989</v>
      </c>
      <c r="AV41" t="str">
        <v>Full time</v>
      </c>
    </row>
    <row r="42" spans="2:48" x14ac:dyDescent="0.25">
      <c r="E42" t="str">
        <v>Monday</v>
      </c>
      <c r="F42" t="str">
        <v>SQ03625</v>
      </c>
      <c r="G42" t="str">
        <v>Fidela</v>
      </c>
      <c r="H42" t="str">
        <v>Artis</v>
      </c>
      <c r="I42" s="57" t="str">
        <v>Female</v>
      </c>
      <c r="J42" t="str">
        <v>Sales</v>
      </c>
      <c r="K42">
        <v>78020.39</v>
      </c>
      <c r="L42" t="str">
        <v>50k to 100k</v>
      </c>
      <c r="M42" s="39">
        <v>43899</v>
      </c>
      <c r="N42">
        <v>1</v>
      </c>
      <c r="O42" t="str">
        <v>Permanent</v>
      </c>
      <c r="P42" t="str">
        <v>Remote</v>
      </c>
      <c r="Q42">
        <v>4.2876712328767121</v>
      </c>
      <c r="R42" t="str">
        <v>Full time</v>
      </c>
      <c r="U42" t="str">
        <v>TN04058</v>
      </c>
      <c r="V42" t="str">
        <v>Subbarao</v>
      </c>
      <c r="W42" t="str">
        <v>Malladi</v>
      </c>
      <c r="X42" t="str">
        <v>Male</v>
      </c>
      <c r="Y42" t="str">
        <v>Product Management</v>
      </c>
      <c r="Z42">
        <v>106775.14</v>
      </c>
      <c r="AA42" t="str">
        <v>Above 100k</v>
      </c>
      <c r="AB42" s="57">
        <v>43563</v>
      </c>
      <c r="AC42">
        <v>1</v>
      </c>
      <c r="AD42" t="str">
        <v>Fixed Term</v>
      </c>
      <c r="AE42" t="str">
        <v>Hyderabad, India</v>
      </c>
      <c r="AF42">
        <v>5.2082191780821914</v>
      </c>
      <c r="AG42" t="str">
        <v>Full time</v>
      </c>
      <c r="AJ42" t="str">
        <v>VT03993</v>
      </c>
      <c r="AK42" t="str">
        <v>Dulce</v>
      </c>
      <c r="AL42" t="str">
        <v>Colbeck</v>
      </c>
      <c r="AM42" t="str">
        <v>Male</v>
      </c>
      <c r="AN42" t="str">
        <v>Human Resources</v>
      </c>
      <c r="AO42">
        <v>83396.5</v>
      </c>
      <c r="AP42" t="str">
        <v>50k to 100k</v>
      </c>
      <c r="AQ42" s="39">
        <v>44285</v>
      </c>
      <c r="AR42">
        <v>1</v>
      </c>
      <c r="AS42" t="str">
        <v>Temporary</v>
      </c>
      <c r="AT42" t="str">
        <v>Auckland, New Zealand</v>
      </c>
      <c r="AU42">
        <v>3.2301369863013698</v>
      </c>
      <c r="AV42" t="str">
        <v>Full time</v>
      </c>
    </row>
    <row r="43" spans="2:48" x14ac:dyDescent="0.25">
      <c r="E43" t="str">
        <v>Monday</v>
      </c>
      <c r="F43" t="str">
        <v>VT01610</v>
      </c>
      <c r="G43" t="str">
        <v>Dhruv</v>
      </c>
      <c r="H43" t="str">
        <v>Manjunath</v>
      </c>
      <c r="I43" s="57" t="str">
        <v>Female</v>
      </c>
      <c r="J43" t="str">
        <v>Accounting</v>
      </c>
      <c r="K43">
        <v>76303.820000000007</v>
      </c>
      <c r="L43" t="str">
        <v>50k to 100k</v>
      </c>
      <c r="M43" s="39">
        <v>43458</v>
      </c>
      <c r="N43">
        <v>1</v>
      </c>
      <c r="O43" t="str">
        <v>Fixed Term</v>
      </c>
      <c r="P43" t="str">
        <v>Hyderabad, India</v>
      </c>
      <c r="Q43">
        <v>5.4958904109589044</v>
      </c>
      <c r="R43" t="str">
        <v>Full time</v>
      </c>
      <c r="U43" t="str">
        <v>TN04058</v>
      </c>
      <c r="V43" t="str">
        <v>Vasu</v>
      </c>
      <c r="W43" t="str">
        <v>Nandin</v>
      </c>
      <c r="X43" t="str">
        <v>Male</v>
      </c>
      <c r="Y43" t="str">
        <v>Product Management</v>
      </c>
      <c r="Z43">
        <v>106775.14</v>
      </c>
      <c r="AA43" t="str">
        <v>Above 100k</v>
      </c>
      <c r="AB43" s="57">
        <v>43563</v>
      </c>
      <c r="AC43">
        <v>1</v>
      </c>
      <c r="AD43" t="str">
        <v>Fixed Term</v>
      </c>
      <c r="AE43" t="str">
        <v>Hyderabad, India</v>
      </c>
      <c r="AF43">
        <v>5.2082191780821914</v>
      </c>
      <c r="AG43" t="str">
        <v>Full time</v>
      </c>
      <c r="AJ43" t="str">
        <v>SQ03625</v>
      </c>
      <c r="AK43" t="str">
        <v>Fidela</v>
      </c>
      <c r="AL43" t="str">
        <v>Artis</v>
      </c>
      <c r="AM43" t="str">
        <v>Female</v>
      </c>
      <c r="AN43" t="str">
        <v>Sales</v>
      </c>
      <c r="AO43">
        <v>78020.39</v>
      </c>
      <c r="AP43" t="str">
        <v>50k to 100k</v>
      </c>
      <c r="AQ43" s="39">
        <v>43899</v>
      </c>
      <c r="AR43">
        <v>1</v>
      </c>
      <c r="AS43" t="str">
        <v>Permanent</v>
      </c>
      <c r="AT43" t="str">
        <v>Remote</v>
      </c>
      <c r="AU43">
        <v>4.2876712328767121</v>
      </c>
      <c r="AV43" t="str">
        <v>Full time</v>
      </c>
    </row>
    <row r="44" spans="2:48" x14ac:dyDescent="0.25">
      <c r="E44" t="str">
        <v>Monday</v>
      </c>
      <c r="F44" t="str">
        <v>VT01610</v>
      </c>
      <c r="G44" t="str">
        <v>Kunja</v>
      </c>
      <c r="H44" t="str">
        <v>Prashanta</v>
      </c>
      <c r="I44" s="57" t="str">
        <v>Female</v>
      </c>
      <c r="J44" t="str">
        <v>Accounting</v>
      </c>
      <c r="K44">
        <v>76303.820000000007</v>
      </c>
      <c r="L44" t="str">
        <v>50k to 100k</v>
      </c>
      <c r="M44" s="39">
        <v>43458</v>
      </c>
      <c r="N44">
        <v>1</v>
      </c>
      <c r="O44" t="str">
        <v>Fixed Term</v>
      </c>
      <c r="P44" t="str">
        <v>Hyderabad, India</v>
      </c>
      <c r="Q44">
        <v>5.4958904109589044</v>
      </c>
      <c r="R44" t="str">
        <v>Full time</v>
      </c>
      <c r="U44" t="str">
        <v>VT04552</v>
      </c>
      <c r="V44" t="str">
        <v>Theresita</v>
      </c>
      <c r="W44" t="str">
        <v>Chasmer</v>
      </c>
      <c r="X44" t="str">
        <v>Female</v>
      </c>
      <c r="Y44" t="str">
        <v>Product Management</v>
      </c>
      <c r="Z44">
        <v>106665.67</v>
      </c>
      <c r="AA44" t="str">
        <v>Above 100k</v>
      </c>
      <c r="AB44" s="57">
        <v>43311</v>
      </c>
      <c r="AC44">
        <v>1</v>
      </c>
      <c r="AD44" t="str">
        <v>Temporary</v>
      </c>
      <c r="AE44" t="str">
        <v>Columbus, USA</v>
      </c>
      <c r="AF44">
        <v>5.8986301369863012</v>
      </c>
      <c r="AG44" t="str">
        <v>Full time</v>
      </c>
      <c r="AJ44" t="str">
        <v>SQ03112</v>
      </c>
      <c r="AK44" t="str">
        <v>Kantimoy</v>
      </c>
      <c r="AL44" t="str">
        <v>Pritish</v>
      </c>
      <c r="AM44" t="str">
        <v>Male</v>
      </c>
      <c r="AN44" t="str">
        <v>Product Management</v>
      </c>
      <c r="AO44">
        <v>77743.149999999994</v>
      </c>
      <c r="AP44" t="str">
        <v>50k to 100k</v>
      </c>
      <c r="AQ44" s="39">
        <v>43920</v>
      </c>
      <c r="AR44">
        <v>1</v>
      </c>
      <c r="AS44" t="str">
        <v>Permanent</v>
      </c>
      <c r="AT44" t="str">
        <v>Chennai, India</v>
      </c>
      <c r="AU44">
        <v>4.2301369863013702</v>
      </c>
      <c r="AV44" t="str">
        <v>Full time</v>
      </c>
    </row>
    <row r="45" spans="2:48" x14ac:dyDescent="0.25">
      <c r="E45" t="str">
        <v>Monday</v>
      </c>
      <c r="F45" t="str">
        <v>PR02113</v>
      </c>
      <c r="G45" t="str">
        <v>Beverie</v>
      </c>
      <c r="H45" t="str">
        <v>Moffet</v>
      </c>
      <c r="I45" s="57" t="str">
        <v>Female</v>
      </c>
      <c r="J45" t="str">
        <v>Support</v>
      </c>
      <c r="K45">
        <v>75974.990000000005</v>
      </c>
      <c r="L45" t="str">
        <v>50k to 100k</v>
      </c>
      <c r="M45" s="39">
        <v>44172</v>
      </c>
      <c r="N45">
        <v>1</v>
      </c>
      <c r="O45" t="str">
        <v>Permanent</v>
      </c>
      <c r="P45" t="str">
        <v>Remote</v>
      </c>
      <c r="Q45">
        <v>3.5397260273972604</v>
      </c>
      <c r="R45" t="str">
        <v>Full time</v>
      </c>
      <c r="U45" t="str">
        <v>VT04350</v>
      </c>
      <c r="V45" t="str">
        <v>Kulbhushan</v>
      </c>
      <c r="W45" t="str">
        <v>Moorthy</v>
      </c>
      <c r="X45" t="str">
        <v>Male</v>
      </c>
      <c r="Y45" t="str">
        <v>Business Development</v>
      </c>
      <c r="Z45">
        <v>106400.02</v>
      </c>
      <c r="AA45" t="str">
        <v>Above 100k</v>
      </c>
      <c r="AB45" s="57">
        <v>44021</v>
      </c>
      <c r="AC45">
        <v>1</v>
      </c>
      <c r="AD45" t="str">
        <v>Temporary</v>
      </c>
      <c r="AE45" t="str">
        <v>Chennai, India</v>
      </c>
      <c r="AF45">
        <v>3.9534246575342467</v>
      </c>
      <c r="AG45" t="str">
        <v>Full time</v>
      </c>
      <c r="AJ45" t="str">
        <v>TN01601</v>
      </c>
      <c r="AK45" t="str">
        <v>Melva</v>
      </c>
      <c r="AL45" t="str">
        <v>Jickells</v>
      </c>
      <c r="AM45" t="str">
        <v>Female</v>
      </c>
      <c r="AN45" t="str">
        <v>Product Management</v>
      </c>
      <c r="AO45">
        <v>68795.48</v>
      </c>
      <c r="AP45" t="str">
        <v>50k to 100k</v>
      </c>
      <c r="AQ45" s="39">
        <v>44277</v>
      </c>
      <c r="AR45">
        <v>0.2</v>
      </c>
      <c r="AS45" t="str">
        <v>Permanent</v>
      </c>
      <c r="AT45" t="str">
        <v>Remote</v>
      </c>
      <c r="AU45">
        <v>3.2520547945205478</v>
      </c>
      <c r="AV45" t="str">
        <v>Part time</v>
      </c>
    </row>
    <row r="46" spans="2:48" x14ac:dyDescent="0.25">
      <c r="E46" t="str">
        <v>Monday</v>
      </c>
      <c r="F46" t="str">
        <v>SQ03546</v>
      </c>
      <c r="G46" t="str">
        <v>Amlankusum</v>
      </c>
      <c r="H46" t="str">
        <v>Rajabhushan</v>
      </c>
      <c r="I46" s="57" t="str">
        <v>Female</v>
      </c>
      <c r="J46" t="str">
        <v>Legal</v>
      </c>
      <c r="K46">
        <v>75733.740000000005</v>
      </c>
      <c r="L46" t="str">
        <v>50k to 100k</v>
      </c>
      <c r="M46" s="39">
        <v>44382</v>
      </c>
      <c r="N46">
        <v>1</v>
      </c>
      <c r="O46" t="str">
        <v>Permanent</v>
      </c>
      <c r="P46" t="str">
        <v>Hyderabad, India</v>
      </c>
      <c r="Q46">
        <v>2.9643835616438357</v>
      </c>
      <c r="R46" t="str">
        <v>Full time</v>
      </c>
      <c r="U46" t="str">
        <v>VT04350</v>
      </c>
      <c r="V46" t="str">
        <v>Lalit</v>
      </c>
      <c r="W46" t="str">
        <v>Kothari</v>
      </c>
      <c r="X46" t="str">
        <v>Male</v>
      </c>
      <c r="Y46" t="str">
        <v>Business Development</v>
      </c>
      <c r="Z46">
        <v>106400.02</v>
      </c>
      <c r="AA46" t="str">
        <v>Above 100k</v>
      </c>
      <c r="AB46" s="57">
        <v>44021</v>
      </c>
      <c r="AC46">
        <v>1</v>
      </c>
      <c r="AD46" t="str">
        <v>Temporary</v>
      </c>
      <c r="AE46" t="str">
        <v>Chennai, India</v>
      </c>
      <c r="AF46">
        <v>3.9534246575342467</v>
      </c>
      <c r="AG46" t="str">
        <v>Full time</v>
      </c>
      <c r="AJ46" t="str">
        <v>TN01601</v>
      </c>
      <c r="AK46" t="str">
        <v>Melva</v>
      </c>
      <c r="AL46" t="str">
        <v>Jickells</v>
      </c>
      <c r="AM46" t="str">
        <v>Female</v>
      </c>
      <c r="AN46" t="str">
        <v>Product Management</v>
      </c>
      <c r="AO46">
        <v>68795.48</v>
      </c>
      <c r="AP46" t="str">
        <v>50k to 100k</v>
      </c>
      <c r="AQ46" s="39">
        <v>44277</v>
      </c>
      <c r="AR46">
        <v>0.2</v>
      </c>
      <c r="AS46" t="str">
        <v>Permanent</v>
      </c>
      <c r="AT46" t="str">
        <v>Remote</v>
      </c>
      <c r="AU46">
        <v>3.2520547945205478</v>
      </c>
      <c r="AV46" t="str">
        <v>Part time</v>
      </c>
    </row>
    <row r="47" spans="2:48" x14ac:dyDescent="0.25">
      <c r="E47" t="str">
        <v>Monday</v>
      </c>
      <c r="F47" t="str">
        <v>TN00182</v>
      </c>
      <c r="G47" t="str">
        <v>Camilla</v>
      </c>
      <c r="H47" t="str">
        <v>Castle</v>
      </c>
      <c r="I47" s="57" t="str">
        <v>Female</v>
      </c>
      <c r="J47" t="str">
        <v>Product Management</v>
      </c>
      <c r="K47">
        <v>75475.929999999993</v>
      </c>
      <c r="L47" t="str">
        <v>50k to 100k</v>
      </c>
      <c r="M47" s="39">
        <v>43794</v>
      </c>
      <c r="N47">
        <v>1</v>
      </c>
      <c r="O47" t="str">
        <v>Permanent</v>
      </c>
      <c r="P47" t="str">
        <v>Remote</v>
      </c>
      <c r="Q47">
        <v>4.5753424657534243</v>
      </c>
      <c r="R47" t="str">
        <v>Full time</v>
      </c>
      <c r="U47" t="str">
        <v>SQ02703</v>
      </c>
      <c r="V47" t="str">
        <v>Deepit</v>
      </c>
      <c r="W47" t="str">
        <v>Ranjana</v>
      </c>
      <c r="X47" t="str">
        <v>Female</v>
      </c>
      <c r="Y47" t="str">
        <v>Marketing</v>
      </c>
      <c r="Z47">
        <v>104903.79</v>
      </c>
      <c r="AA47" t="str">
        <v>Above 100k</v>
      </c>
      <c r="AB47" s="57">
        <v>43649</v>
      </c>
      <c r="AC47">
        <v>1</v>
      </c>
      <c r="AD47" t="str">
        <v>Permanent</v>
      </c>
      <c r="AE47" t="str">
        <v>Chennai, India</v>
      </c>
      <c r="AF47">
        <v>4.9726027397260273</v>
      </c>
      <c r="AG47" t="str">
        <v>Full time</v>
      </c>
      <c r="AJ47" t="str">
        <v>VT02417</v>
      </c>
      <c r="AK47" t="str">
        <v>Evangelina</v>
      </c>
      <c r="AL47" t="str">
        <v>Lergan</v>
      </c>
      <c r="AM47" t="str">
        <v>Male</v>
      </c>
      <c r="AN47" t="str">
        <v>Support</v>
      </c>
      <c r="AO47">
        <v>61214.26</v>
      </c>
      <c r="AP47" t="str">
        <v>50k to 100k</v>
      </c>
      <c r="AQ47" s="39">
        <v>43171</v>
      </c>
      <c r="AR47">
        <v>1</v>
      </c>
      <c r="AS47" t="str">
        <v>Temporary</v>
      </c>
      <c r="AT47" t="str">
        <v>Auckland, New Zealand</v>
      </c>
      <c r="AU47">
        <v>6.2821917808219174</v>
      </c>
      <c r="AV47" t="str">
        <v>Full time</v>
      </c>
    </row>
    <row r="48" spans="2:48" x14ac:dyDescent="0.25">
      <c r="E48" t="str">
        <v>Monday</v>
      </c>
      <c r="F48" t="str">
        <v>TN04067</v>
      </c>
      <c r="G48" t="str">
        <v>Lea</v>
      </c>
      <c r="H48" t="str">
        <v>Chaplin</v>
      </c>
      <c r="I48" s="57" t="str">
        <v>Female</v>
      </c>
      <c r="J48" t="str">
        <v>Human Resources</v>
      </c>
      <c r="K48">
        <v>73488.679999999993</v>
      </c>
      <c r="L48" t="str">
        <v>50k to 100k</v>
      </c>
      <c r="M48" s="39">
        <v>43570</v>
      </c>
      <c r="N48">
        <v>1</v>
      </c>
      <c r="O48" t="str">
        <v>Fixed Term</v>
      </c>
      <c r="P48" t="str">
        <v>Seattle, USA</v>
      </c>
      <c r="Q48">
        <v>5.1890410958904107</v>
      </c>
      <c r="R48" t="str">
        <v>Full time</v>
      </c>
      <c r="U48" t="str">
        <v>PR04601</v>
      </c>
      <c r="V48" t="str">
        <v>Yedukondalu</v>
      </c>
      <c r="W48" t="str">
        <v>Panditula</v>
      </c>
      <c r="X48" t="str">
        <v>Need to check</v>
      </c>
      <c r="Y48" t="str">
        <v>Support</v>
      </c>
      <c r="Z48">
        <v>104802.63</v>
      </c>
      <c r="AA48" t="str">
        <v>Above 100k</v>
      </c>
      <c r="AB48" s="57">
        <v>44502</v>
      </c>
      <c r="AC48">
        <v>1</v>
      </c>
      <c r="AD48" t="str">
        <v>Permanent</v>
      </c>
      <c r="AE48" t="str">
        <v>Hyderabad, India</v>
      </c>
      <c r="AF48">
        <v>2.6356164383561644</v>
      </c>
      <c r="AG48" t="str">
        <v>Full time</v>
      </c>
      <c r="AJ48" t="str">
        <v>VT04415</v>
      </c>
      <c r="AK48" t="str">
        <v>Malory</v>
      </c>
      <c r="AL48" t="str">
        <v>Biles</v>
      </c>
      <c r="AM48" t="str">
        <v>Female</v>
      </c>
      <c r="AN48" t="str">
        <v>Training</v>
      </c>
      <c r="AO48">
        <v>58744.17</v>
      </c>
      <c r="AP48" t="str">
        <v>50k to 100k</v>
      </c>
      <c r="AQ48" s="39">
        <v>43171</v>
      </c>
      <c r="AR48">
        <v>1</v>
      </c>
      <c r="AS48" t="str">
        <v>Temporary</v>
      </c>
      <c r="AT48" t="str">
        <v>Columbus, USA</v>
      </c>
      <c r="AU48">
        <v>6.2821917808219174</v>
      </c>
      <c r="AV48" t="str">
        <v>Full time</v>
      </c>
    </row>
    <row r="49" spans="5:49" x14ac:dyDescent="0.25">
      <c r="E49" t="str">
        <v>Monday</v>
      </c>
      <c r="F49" t="str">
        <v>PR01383</v>
      </c>
      <c r="G49" t="str">
        <v>Addi</v>
      </c>
      <c r="H49" t="str">
        <v>Studdeard</v>
      </c>
      <c r="I49" s="57" t="str">
        <v>Female</v>
      </c>
      <c r="J49" t="str">
        <v>Product Management</v>
      </c>
      <c r="K49">
        <v>72502.61</v>
      </c>
      <c r="L49" t="str">
        <v>50k to 100k</v>
      </c>
      <c r="M49" s="39">
        <v>44235</v>
      </c>
      <c r="N49">
        <v>1</v>
      </c>
      <c r="O49" t="str">
        <v>Permanent</v>
      </c>
      <c r="P49" t="str">
        <v>Wellington, New Zealand</v>
      </c>
      <c r="Q49">
        <v>3.3671232876712329</v>
      </c>
      <c r="R49" t="str">
        <v>Full time</v>
      </c>
      <c r="U49" t="str">
        <v>PR02288</v>
      </c>
      <c r="V49" t="str">
        <v>Althea</v>
      </c>
      <c r="W49" t="str">
        <v>Bronger</v>
      </c>
      <c r="X49" t="str">
        <v>Male</v>
      </c>
      <c r="Y49" t="str">
        <v>Product Management</v>
      </c>
      <c r="Z49">
        <v>104335.03999999999</v>
      </c>
      <c r="AA49" t="str">
        <v>Above 100k</v>
      </c>
      <c r="AB49" s="57">
        <v>43874</v>
      </c>
      <c r="AC49">
        <v>1</v>
      </c>
      <c r="AD49" t="str">
        <v>Permanent</v>
      </c>
      <c r="AE49" t="str">
        <v>Columbus, USA</v>
      </c>
      <c r="AF49">
        <v>4.3561643835616435</v>
      </c>
      <c r="AG49" t="str">
        <v>Full time</v>
      </c>
      <c r="AJ49" t="str">
        <v>TN04892</v>
      </c>
      <c r="AK49" t="str">
        <v>Luca</v>
      </c>
      <c r="AL49" t="str">
        <v>Wolstenholme</v>
      </c>
      <c r="AM49" t="str">
        <v>Male</v>
      </c>
      <c r="AN49" t="str">
        <v>Engineering</v>
      </c>
      <c r="AO49">
        <v>53184.02</v>
      </c>
      <c r="AP49" t="str">
        <v>50k to 100k</v>
      </c>
      <c r="AQ49" s="39">
        <v>43180</v>
      </c>
      <c r="AR49">
        <v>1</v>
      </c>
      <c r="AS49" t="str">
        <v>Fixed Term</v>
      </c>
      <c r="AT49" t="str">
        <v>Remote</v>
      </c>
      <c r="AU49">
        <v>6.2575342465753421</v>
      </c>
      <c r="AV49" t="str">
        <v>Full time</v>
      </c>
    </row>
    <row r="50" spans="5:49" x14ac:dyDescent="0.25">
      <c r="E50" t="str">
        <v>Monday</v>
      </c>
      <c r="F50" t="str">
        <v>SQ04960</v>
      </c>
      <c r="G50" t="str">
        <v>Shubhra</v>
      </c>
      <c r="H50" t="str">
        <v>Potla</v>
      </c>
      <c r="I50" s="57" t="str">
        <v>Female</v>
      </c>
      <c r="J50" t="str">
        <v>Support</v>
      </c>
      <c r="K50">
        <v>71924.850000000006</v>
      </c>
      <c r="L50" t="str">
        <v>50k to 100k</v>
      </c>
      <c r="M50" s="39">
        <v>43822</v>
      </c>
      <c r="N50">
        <v>1</v>
      </c>
      <c r="O50" t="str">
        <v>Permanent</v>
      </c>
      <c r="P50" t="str">
        <v>Chennai, India</v>
      </c>
      <c r="Q50">
        <v>4.4986301369863018</v>
      </c>
      <c r="R50" t="str">
        <v>Full time</v>
      </c>
      <c r="U50" t="str">
        <v>TN04740</v>
      </c>
      <c r="V50" t="str">
        <v>Tristam</v>
      </c>
      <c r="W50" t="str">
        <v>Cuming</v>
      </c>
      <c r="X50" t="str">
        <v>Female</v>
      </c>
      <c r="Y50" t="str">
        <v>Support</v>
      </c>
      <c r="Z50">
        <v>104038.9</v>
      </c>
      <c r="AA50" t="str">
        <v>Above 100k</v>
      </c>
      <c r="AB50" s="57">
        <v>43815</v>
      </c>
      <c r="AC50">
        <v>1</v>
      </c>
      <c r="AD50" t="str">
        <v>Fixed Term</v>
      </c>
      <c r="AE50" t="str">
        <v>Remote</v>
      </c>
      <c r="AF50">
        <v>4.5178082191780824</v>
      </c>
      <c r="AG50" t="str">
        <v>Full time</v>
      </c>
      <c r="AJ50" t="str">
        <v>PR00893</v>
      </c>
      <c r="AK50" t="str">
        <v>Vasavi</v>
      </c>
      <c r="AL50" t="str">
        <v>Veeravasarapu</v>
      </c>
      <c r="AM50" t="str">
        <v>Male</v>
      </c>
      <c r="AN50" t="str">
        <v>Human Resources</v>
      </c>
      <c r="AO50">
        <v>50310.09</v>
      </c>
      <c r="AP50" t="str">
        <v>50k to 100k</v>
      </c>
      <c r="AQ50" s="39">
        <v>44285</v>
      </c>
      <c r="AR50">
        <v>0.4</v>
      </c>
      <c r="AS50" t="str">
        <v>Permanent</v>
      </c>
      <c r="AT50" t="str">
        <v>Hyderabad, India</v>
      </c>
      <c r="AU50">
        <v>3.2301369863013698</v>
      </c>
      <c r="AV50" t="str">
        <v>Part time</v>
      </c>
    </row>
    <row r="51" spans="5:49" x14ac:dyDescent="0.25">
      <c r="E51" t="str">
        <v>Monday</v>
      </c>
      <c r="F51" t="str">
        <v>VT02374</v>
      </c>
      <c r="G51" t="str">
        <v>Delphine</v>
      </c>
      <c r="H51" t="str">
        <v>Jewis</v>
      </c>
      <c r="I51" s="57" t="str">
        <v>Female</v>
      </c>
      <c r="J51" t="str">
        <v>Accounting</v>
      </c>
      <c r="K51">
        <v>71823.56</v>
      </c>
      <c r="L51" t="str">
        <v>50k to 100k</v>
      </c>
      <c r="M51" s="39">
        <v>43374</v>
      </c>
      <c r="N51">
        <v>0.3</v>
      </c>
      <c r="O51" t="str">
        <v>Temporary</v>
      </c>
      <c r="P51" t="str">
        <v>Remote</v>
      </c>
      <c r="Q51">
        <v>5.7260273972602738</v>
      </c>
      <c r="R51" t="str">
        <v>Part time</v>
      </c>
      <c r="U51" t="str">
        <v>SQ02035</v>
      </c>
      <c r="V51" t="str">
        <v>Anni</v>
      </c>
      <c r="W51" t="str">
        <v>Izzard</v>
      </c>
      <c r="X51" t="str">
        <v>Male</v>
      </c>
      <c r="Y51" t="str">
        <v>Human Resources</v>
      </c>
      <c r="Z51">
        <v>103494.94</v>
      </c>
      <c r="AA51" t="str">
        <v>Above 100k</v>
      </c>
      <c r="AB51" s="57">
        <v>43256</v>
      </c>
      <c r="AC51">
        <v>1</v>
      </c>
      <c r="AD51" t="str">
        <v>Permanent</v>
      </c>
      <c r="AE51" t="str">
        <v>Remote</v>
      </c>
      <c r="AF51">
        <v>6.0493150684931507</v>
      </c>
      <c r="AG51" t="str">
        <v>Full time</v>
      </c>
      <c r="AJ51" t="str">
        <v>SQ01519</v>
      </c>
      <c r="AK51" t="str">
        <v>Caron</v>
      </c>
      <c r="AL51" t="str">
        <v>Kolakovic</v>
      </c>
      <c r="AM51" t="str">
        <v>Male</v>
      </c>
      <c r="AN51" t="str">
        <v>Accounting</v>
      </c>
      <c r="AO51">
        <v>49915.14</v>
      </c>
      <c r="AP51" t="str">
        <v>Under 50k</v>
      </c>
      <c r="AQ51" s="39">
        <v>43550</v>
      </c>
      <c r="AR51">
        <v>1</v>
      </c>
      <c r="AS51" t="str">
        <v>Permanent</v>
      </c>
      <c r="AT51" t="str">
        <v>Remote</v>
      </c>
      <c r="AU51">
        <v>5.2438356164383562</v>
      </c>
      <c r="AV51" t="str">
        <v>Full time</v>
      </c>
    </row>
    <row r="52" spans="5:49" x14ac:dyDescent="0.25">
      <c r="E52" t="str">
        <v>Monday</v>
      </c>
      <c r="F52" t="str">
        <v>VT02374</v>
      </c>
      <c r="G52" t="str">
        <v>Delphine</v>
      </c>
      <c r="H52" t="str">
        <v>Jewis</v>
      </c>
      <c r="I52" s="57" t="str">
        <v>Female</v>
      </c>
      <c r="J52" t="str">
        <v>Accounting</v>
      </c>
      <c r="K52">
        <v>71823.56</v>
      </c>
      <c r="L52" t="str">
        <v>50k to 100k</v>
      </c>
      <c r="M52" s="39">
        <v>43374</v>
      </c>
      <c r="N52">
        <v>0.3</v>
      </c>
      <c r="O52" t="str">
        <v>Temporary</v>
      </c>
      <c r="P52" t="str">
        <v>Remote</v>
      </c>
      <c r="Q52">
        <v>5.7260273972602738</v>
      </c>
      <c r="R52" t="str">
        <v>Part time</v>
      </c>
      <c r="U52" t="str">
        <v>SQ02035</v>
      </c>
      <c r="V52" t="str">
        <v>Anni</v>
      </c>
      <c r="W52" t="str">
        <v>Izzard</v>
      </c>
      <c r="X52" t="str">
        <v>Male</v>
      </c>
      <c r="Y52" t="str">
        <v>Human Resources</v>
      </c>
      <c r="Z52">
        <v>103494.94</v>
      </c>
      <c r="AA52" t="str">
        <v>Above 100k</v>
      </c>
      <c r="AB52" s="57">
        <v>43256</v>
      </c>
      <c r="AC52">
        <v>1</v>
      </c>
      <c r="AD52" t="str">
        <v>Permanent</v>
      </c>
      <c r="AE52" t="str">
        <v>Remote</v>
      </c>
      <c r="AF52">
        <v>6.0493150684931507</v>
      </c>
      <c r="AG52" t="str">
        <v>Full time</v>
      </c>
      <c r="AJ52" t="str">
        <v>TN01256</v>
      </c>
      <c r="AK52" t="str">
        <v>Shattesh</v>
      </c>
      <c r="AL52" t="str">
        <v>Utpat</v>
      </c>
      <c r="AM52" t="str">
        <v>Male</v>
      </c>
      <c r="AN52" t="str">
        <v>Legal</v>
      </c>
      <c r="AO52">
        <v>28481.16</v>
      </c>
      <c r="AP52" t="str">
        <v>Under 50k</v>
      </c>
      <c r="AQ52" s="39">
        <v>43916</v>
      </c>
      <c r="AR52">
        <v>1</v>
      </c>
      <c r="AS52" t="str">
        <v>Permanent</v>
      </c>
      <c r="AT52" t="str">
        <v>Hyderabad, India</v>
      </c>
      <c r="AU52">
        <v>4.2410958904109588</v>
      </c>
      <c r="AV52" t="str">
        <v>Full time</v>
      </c>
    </row>
    <row r="53" spans="5:49" x14ac:dyDescent="0.25">
      <c r="E53" t="str">
        <v>Monday</v>
      </c>
      <c r="F53" t="str">
        <v>TN00890</v>
      </c>
      <c r="G53" t="str">
        <v>Mayur</v>
      </c>
      <c r="H53" t="str">
        <v>Kousika</v>
      </c>
      <c r="I53" s="57" t="str">
        <v>Female</v>
      </c>
      <c r="J53" t="str">
        <v>Training</v>
      </c>
      <c r="K53">
        <v>71570.990000000005</v>
      </c>
      <c r="L53" t="str">
        <v>50k to 100k</v>
      </c>
      <c r="M53" s="39">
        <v>44249</v>
      </c>
      <c r="N53">
        <v>0.5</v>
      </c>
      <c r="O53" t="str">
        <v>Permanent</v>
      </c>
      <c r="P53" t="str">
        <v>Hyderabad, India</v>
      </c>
      <c r="Q53">
        <v>3.3287671232876712</v>
      </c>
      <c r="R53" t="str">
        <v>Part time</v>
      </c>
      <c r="U53" t="str">
        <v>PR02208</v>
      </c>
      <c r="V53" t="str">
        <v>Gowri</v>
      </c>
      <c r="W53" t="str">
        <v>Sankar</v>
      </c>
      <c r="X53" t="str">
        <v>Female</v>
      </c>
      <c r="Y53" t="str">
        <v>Training</v>
      </c>
      <c r="Z53">
        <v>102934.09</v>
      </c>
      <c r="AA53" t="str">
        <v>Above 100k</v>
      </c>
      <c r="AB53" s="57">
        <v>44315</v>
      </c>
      <c r="AC53">
        <v>1</v>
      </c>
      <c r="AD53" t="str">
        <v>Permanent</v>
      </c>
      <c r="AE53" t="str">
        <v>Hyderabad, India</v>
      </c>
      <c r="AF53">
        <v>3.1479452054794521</v>
      </c>
      <c r="AG53" t="str">
        <v>Full time</v>
      </c>
      <c r="AJ53" t="str">
        <v>TN01256</v>
      </c>
      <c r="AK53" t="str">
        <v>Sawini</v>
      </c>
      <c r="AL53" t="str">
        <v>Chandan</v>
      </c>
      <c r="AM53" t="str">
        <v>Male</v>
      </c>
      <c r="AN53" t="str">
        <v>Legal</v>
      </c>
      <c r="AO53">
        <v>28481.16</v>
      </c>
      <c r="AP53" t="str">
        <v>Under 50k</v>
      </c>
      <c r="AQ53" s="39">
        <v>43916</v>
      </c>
      <c r="AR53">
        <v>1</v>
      </c>
      <c r="AS53" t="str">
        <v>Permanent</v>
      </c>
      <c r="AT53" t="str">
        <v>Hyderabad, India</v>
      </c>
      <c r="AU53">
        <v>4.2410958904109588</v>
      </c>
      <c r="AV53" t="str">
        <v>Full time</v>
      </c>
    </row>
    <row r="54" spans="5:49" x14ac:dyDescent="0.25">
      <c r="E54" t="str">
        <v>Monday</v>
      </c>
      <c r="F54" t="str">
        <v>PR00095</v>
      </c>
      <c r="G54" t="str">
        <v>Devrat</v>
      </c>
      <c r="H54" t="str">
        <v>Damarsingh</v>
      </c>
      <c r="I54" s="57" t="str">
        <v>Female</v>
      </c>
      <c r="J54" t="str">
        <v>Business Development</v>
      </c>
      <c r="K54">
        <v>70649.460000000006</v>
      </c>
      <c r="L54" t="str">
        <v>50k to 100k</v>
      </c>
      <c r="M54" s="39">
        <v>43843</v>
      </c>
      <c r="N54">
        <v>1</v>
      </c>
      <c r="O54" t="str">
        <v>Permanent</v>
      </c>
      <c r="P54" t="str">
        <v>Hyderabad, India</v>
      </c>
      <c r="Q54">
        <v>4.441095890410959</v>
      </c>
      <c r="R54" t="str">
        <v>Full time</v>
      </c>
      <c r="U54" t="str">
        <v>VT01762</v>
      </c>
      <c r="V54" t="str">
        <v>Geena</v>
      </c>
      <c r="W54" t="str">
        <v>Raghavanpillai</v>
      </c>
      <c r="X54" t="str">
        <v>Male</v>
      </c>
      <c r="Y54" t="str">
        <v>Accounting</v>
      </c>
      <c r="Z54">
        <v>102515.81</v>
      </c>
      <c r="AA54" t="str">
        <v>Above 100k</v>
      </c>
      <c r="AB54" s="57">
        <v>43902</v>
      </c>
      <c r="AC54">
        <v>1</v>
      </c>
      <c r="AD54" t="str">
        <v>Fixed Term</v>
      </c>
      <c r="AE54" t="str">
        <v>Chennai, India</v>
      </c>
      <c r="AF54">
        <v>4.279452054794521</v>
      </c>
      <c r="AG54" t="str">
        <v>Full time</v>
      </c>
    </row>
    <row r="55" spans="5:49" x14ac:dyDescent="0.25">
      <c r="E55" t="str">
        <v>Monday</v>
      </c>
      <c r="F55" t="str">
        <v>PR04473</v>
      </c>
      <c r="G55" t="str">
        <v>Wyn</v>
      </c>
      <c r="H55" t="str">
        <v>Treadger</v>
      </c>
      <c r="I55" s="57" t="str">
        <v>Female</v>
      </c>
      <c r="J55" t="str">
        <v>Business Development</v>
      </c>
      <c r="K55">
        <v>69192.850000000006</v>
      </c>
      <c r="L55" t="str">
        <v>50k to 100k</v>
      </c>
      <c r="M55" s="39">
        <v>44305</v>
      </c>
      <c r="N55">
        <v>1</v>
      </c>
      <c r="O55" t="str">
        <v>Permanent</v>
      </c>
      <c r="P55" t="str">
        <v>Columbus, USA</v>
      </c>
      <c r="Q55">
        <v>3.1753424657534248</v>
      </c>
      <c r="R55" t="str">
        <v>Full time</v>
      </c>
      <c r="U55" t="str">
        <v>SQ03491</v>
      </c>
      <c r="V55" t="str">
        <v>Freda</v>
      </c>
      <c r="W55" t="str">
        <v>Legan</v>
      </c>
      <c r="X55" t="str">
        <v>Female</v>
      </c>
      <c r="Y55" t="str">
        <v>Sales</v>
      </c>
      <c r="Z55">
        <v>102129.37</v>
      </c>
      <c r="AA55" t="str">
        <v>Above 100k</v>
      </c>
      <c r="AB55" s="57">
        <v>44396</v>
      </c>
      <c r="AC55">
        <v>1</v>
      </c>
      <c r="AD55" t="str">
        <v>Permanent</v>
      </c>
      <c r="AE55" t="str">
        <v>Columbus, USA</v>
      </c>
      <c r="AF55">
        <v>2.9260273972602739</v>
      </c>
      <c r="AG55" t="str">
        <v>Full time</v>
      </c>
    </row>
    <row r="56" spans="5:49" x14ac:dyDescent="0.25">
      <c r="E56" t="str">
        <v>Monday</v>
      </c>
      <c r="F56" t="str">
        <v>SQ03321</v>
      </c>
      <c r="G56" t="str">
        <v>Gradey</v>
      </c>
      <c r="H56" t="str">
        <v>Litton</v>
      </c>
      <c r="I56" s="57" t="str">
        <v>Female</v>
      </c>
      <c r="J56" t="str">
        <v>Accounting</v>
      </c>
      <c r="K56">
        <v>68887.839999999997</v>
      </c>
      <c r="L56" t="str">
        <v>50k to 100k</v>
      </c>
      <c r="M56" s="39">
        <v>43297</v>
      </c>
      <c r="N56">
        <v>1</v>
      </c>
      <c r="O56" t="str">
        <v>Permanent</v>
      </c>
      <c r="P56" t="str">
        <v>Remote</v>
      </c>
      <c r="Q56">
        <v>5.9369863013698634</v>
      </c>
      <c r="R56" t="str">
        <v>Full time</v>
      </c>
      <c r="U56" t="str">
        <v>VT01684</v>
      </c>
      <c r="V56" t="str">
        <v>Audry</v>
      </c>
      <c r="W56" t="str">
        <v>Yu</v>
      </c>
      <c r="X56" t="str">
        <v>Female</v>
      </c>
      <c r="Y56" t="str">
        <v>Training</v>
      </c>
      <c r="Z56">
        <v>101187.36</v>
      </c>
      <c r="AA56" t="str">
        <v>Above 100k</v>
      </c>
      <c r="AB56" s="57">
        <v>43258</v>
      </c>
      <c r="AC56">
        <v>1</v>
      </c>
      <c r="AD56" t="str">
        <v>Fixed Term</v>
      </c>
      <c r="AE56" t="str">
        <v>Columbus, USA</v>
      </c>
      <c r="AF56">
        <v>6.043835616438356</v>
      </c>
      <c r="AG56" t="str">
        <v>Full time</v>
      </c>
    </row>
    <row r="57" spans="5:49" x14ac:dyDescent="0.25">
      <c r="E57" t="str">
        <v>Monday</v>
      </c>
      <c r="F57" t="str">
        <v>TN01601</v>
      </c>
      <c r="G57" t="str">
        <v>Melva</v>
      </c>
      <c r="H57" t="str">
        <v>Jickells</v>
      </c>
      <c r="I57" s="57" t="str">
        <v>Female</v>
      </c>
      <c r="J57" t="str">
        <v>Product Management</v>
      </c>
      <c r="K57">
        <v>68795.48</v>
      </c>
      <c r="L57" t="str">
        <v>50k to 100k</v>
      </c>
      <c r="M57" s="39">
        <v>44277</v>
      </c>
      <c r="N57">
        <v>0.2</v>
      </c>
      <c r="O57" t="str">
        <v>Permanent</v>
      </c>
      <c r="P57" t="str">
        <v>Remote</v>
      </c>
      <c r="Q57">
        <v>3.2520547945205478</v>
      </c>
      <c r="R57" t="str">
        <v>Part time</v>
      </c>
      <c r="U57" t="str">
        <v>SQ03387</v>
      </c>
      <c r="V57" t="str">
        <v>Robinia</v>
      </c>
      <c r="W57" t="str">
        <v>Scholling</v>
      </c>
      <c r="X57" t="str">
        <v>Female</v>
      </c>
      <c r="Y57" t="str">
        <v>Human Resources</v>
      </c>
      <c r="Z57">
        <v>100731.95</v>
      </c>
      <c r="AA57" t="str">
        <v>Above 100k</v>
      </c>
      <c r="AB57" s="57">
        <v>43936</v>
      </c>
      <c r="AC57">
        <v>1</v>
      </c>
      <c r="AD57" t="str">
        <v>Permanent</v>
      </c>
      <c r="AE57" t="str">
        <v>Auckland, New Zealand</v>
      </c>
      <c r="AF57">
        <v>4.1863013698630134</v>
      </c>
      <c r="AG57" t="str">
        <v>Full time</v>
      </c>
    </row>
    <row r="58" spans="5:49" x14ac:dyDescent="0.25">
      <c r="E58" t="str">
        <v>Monday</v>
      </c>
      <c r="F58" t="str">
        <v>TN01601</v>
      </c>
      <c r="G58" t="str">
        <v>Melva</v>
      </c>
      <c r="H58" t="str">
        <v>Jickells</v>
      </c>
      <c r="I58" s="57" t="str">
        <v>Female</v>
      </c>
      <c r="J58" t="str">
        <v>Product Management</v>
      </c>
      <c r="K58">
        <v>68795.48</v>
      </c>
      <c r="L58" t="str">
        <v>50k to 100k</v>
      </c>
      <c r="M58" s="39">
        <v>44277</v>
      </c>
      <c r="N58">
        <v>0.2</v>
      </c>
      <c r="O58" t="str">
        <v>Permanent</v>
      </c>
      <c r="P58" t="str">
        <v>Remote</v>
      </c>
      <c r="Q58">
        <v>3.2520547945205478</v>
      </c>
      <c r="R58" t="str">
        <v>Part time</v>
      </c>
      <c r="U58" t="str">
        <v>SQ04665</v>
      </c>
      <c r="V58" t="str">
        <v>Collin</v>
      </c>
      <c r="W58" t="str">
        <v>Jagson</v>
      </c>
      <c r="X58" t="str">
        <v>Male</v>
      </c>
      <c r="Y58" t="str">
        <v>Services</v>
      </c>
      <c r="Z58">
        <v>100424.23</v>
      </c>
      <c r="AA58" t="str">
        <v>Above 100k</v>
      </c>
      <c r="AB58" s="57">
        <v>43801</v>
      </c>
      <c r="AC58">
        <v>1</v>
      </c>
      <c r="AD58" t="str">
        <v>Permanent</v>
      </c>
      <c r="AE58" t="str">
        <v>Auckland, New Zealand</v>
      </c>
      <c r="AF58">
        <v>4.5561643835616437</v>
      </c>
      <c r="AG58" t="str">
        <v>Full time</v>
      </c>
      <c r="AL58" s="73" t="s">
        <v>828</v>
      </c>
      <c r="AM58" s="73"/>
      <c r="AN58" s="73"/>
      <c r="AO58" s="73"/>
      <c r="AP58" s="73"/>
      <c r="AQ58" s="73"/>
      <c r="AR58" s="73"/>
      <c r="AS58" s="73"/>
    </row>
    <row r="59" spans="5:49" x14ac:dyDescent="0.25">
      <c r="E59" t="str">
        <v>Monday</v>
      </c>
      <c r="F59" t="str">
        <v>SQ03350</v>
      </c>
      <c r="G59" t="str">
        <v>Felice</v>
      </c>
      <c r="H59" t="str">
        <v>McMurty</v>
      </c>
      <c r="I59" s="57" t="str">
        <v>Female</v>
      </c>
      <c r="J59" t="str">
        <v>Product Management</v>
      </c>
      <c r="K59">
        <v>66865.490000000005</v>
      </c>
      <c r="L59" t="str">
        <v>50k to 100k</v>
      </c>
      <c r="M59" s="39">
        <v>43514</v>
      </c>
      <c r="N59">
        <v>1</v>
      </c>
      <c r="O59" t="str">
        <v>Permanent</v>
      </c>
      <c r="P59" t="str">
        <v>Seattle, USA</v>
      </c>
      <c r="Q59">
        <v>5.3424657534246576</v>
      </c>
      <c r="R59" t="str">
        <v>Full time</v>
      </c>
      <c r="U59" t="str">
        <v>TN04246</v>
      </c>
      <c r="V59" t="str">
        <v>Shaylyn</v>
      </c>
      <c r="W59" t="str">
        <v>Ransbury</v>
      </c>
      <c r="X59" t="str">
        <v>Female</v>
      </c>
      <c r="Y59" t="str">
        <v>Support</v>
      </c>
      <c r="Z59">
        <v>100371.31</v>
      </c>
      <c r="AA59" t="str">
        <v>Above 100k</v>
      </c>
      <c r="AB59" s="57">
        <v>44067</v>
      </c>
      <c r="AC59">
        <v>0.8</v>
      </c>
      <c r="AD59" t="str">
        <v>Fixed Term</v>
      </c>
      <c r="AE59" t="str">
        <v>Auckland, New Zealand</v>
      </c>
      <c r="AF59">
        <v>3.8273972602739725</v>
      </c>
      <c r="AG59" t="str">
        <v>Part time</v>
      </c>
      <c r="AJ59" t="s">
        <v>3</v>
      </c>
      <c r="AK59" t="s">
        <v>24</v>
      </c>
      <c r="AM59" t="s">
        <v>829</v>
      </c>
      <c r="AN59">
        <v>1</v>
      </c>
    </row>
    <row r="60" spans="5:49" x14ac:dyDescent="0.25">
      <c r="E60" t="str">
        <v>Monday</v>
      </c>
      <c r="F60" t="str">
        <v>SQ03350</v>
      </c>
      <c r="G60" t="str">
        <v>Felice</v>
      </c>
      <c r="H60" t="str">
        <v>McMurty</v>
      </c>
      <c r="I60" s="57" t="str">
        <v>Female</v>
      </c>
      <c r="J60" t="str">
        <v>Product Management</v>
      </c>
      <c r="K60">
        <v>66865.490000000005</v>
      </c>
      <c r="L60" t="str">
        <v>50k to 100k</v>
      </c>
      <c r="M60" s="39">
        <v>43514</v>
      </c>
      <c r="N60">
        <v>1</v>
      </c>
      <c r="O60" t="str">
        <v>Permanent</v>
      </c>
      <c r="P60" t="str">
        <v>Seattle, USA</v>
      </c>
      <c r="Q60">
        <v>5.3424657534246576</v>
      </c>
      <c r="R60" t="str">
        <v>Full time</v>
      </c>
      <c r="U60" t="str">
        <v>SQ02465</v>
      </c>
      <c r="V60" t="str">
        <v>Bernie</v>
      </c>
      <c r="W60" t="str">
        <v>Gorges</v>
      </c>
      <c r="X60" t="str">
        <v>Female</v>
      </c>
      <c r="Y60" t="str">
        <v>Training</v>
      </c>
      <c r="Z60">
        <v>99965.97</v>
      </c>
      <c r="AA60" t="str">
        <v>50k to 100k</v>
      </c>
      <c r="AB60" s="57">
        <v>43133</v>
      </c>
      <c r="AC60">
        <v>1</v>
      </c>
      <c r="AD60" t="str">
        <v>Permanent</v>
      </c>
      <c r="AE60" t="str">
        <v>Remote</v>
      </c>
      <c r="AF60">
        <v>6.3863013698630136</v>
      </c>
      <c r="AG60" t="str">
        <v>Full time</v>
      </c>
      <c r="AJ60" t="str" cm="1">
        <f t="array" ref="AJ60:AV121">_xlfn._xlws.FILTER(_xlfn.ANCHORARRAY(U13),(X13:X272 = AK59)*WEEKDAY(AB13:AB272,2)=AN59)</f>
        <v>SQ02174</v>
      </c>
      <c r="AK60" t="str">
        <v>Sidoney</v>
      </c>
      <c r="AL60" t="str">
        <v>Yitzhok</v>
      </c>
      <c r="AM60" t="str">
        <v>Female</v>
      </c>
      <c r="AN60" t="str">
        <v>Engineering</v>
      </c>
      <c r="AO60">
        <v>118442.54</v>
      </c>
      <c r="AP60" t="str">
        <v>Above 100k</v>
      </c>
      <c r="AQ60" s="39">
        <v>44193</v>
      </c>
      <c r="AR60">
        <v>1</v>
      </c>
      <c r="AS60" t="str">
        <v>Permanent</v>
      </c>
      <c r="AT60" t="str">
        <v>Auckland, New Zealand</v>
      </c>
      <c r="AU60">
        <v>3.4821917808219176</v>
      </c>
      <c r="AV60" t="str">
        <v>Full time</v>
      </c>
      <c r="AW60" t="str" cm="1">
        <f t="array" ref="AW60:AW106">TEXT(AQ60:AQ106,"dddd")</f>
        <v>Monday</v>
      </c>
    </row>
    <row r="61" spans="5:49" x14ac:dyDescent="0.25">
      <c r="E61" t="str">
        <v>Monday</v>
      </c>
      <c r="F61" t="str">
        <v>PR00576</v>
      </c>
      <c r="G61" t="str">
        <v>Lalitchandra</v>
      </c>
      <c r="H61" t="str">
        <v>Vadali</v>
      </c>
      <c r="I61" s="57" t="str">
        <v>Female</v>
      </c>
      <c r="J61" t="str">
        <v>Legal</v>
      </c>
      <c r="K61">
        <v>63705.4</v>
      </c>
      <c r="L61" t="str">
        <v>50k to 100k</v>
      </c>
      <c r="M61" s="39">
        <v>43682</v>
      </c>
      <c r="N61">
        <v>1</v>
      </c>
      <c r="O61" t="str">
        <v>Permanent</v>
      </c>
      <c r="P61" t="str">
        <v>Hyderabad, India</v>
      </c>
      <c r="Q61">
        <v>4.882191780821918</v>
      </c>
      <c r="R61" t="str">
        <v>Full time</v>
      </c>
      <c r="U61" t="str">
        <v>TN03575</v>
      </c>
      <c r="V61" t="str">
        <v>Janina</v>
      </c>
      <c r="W61" t="str">
        <v>Wolverson</v>
      </c>
      <c r="X61" t="str">
        <v>Female</v>
      </c>
      <c r="Y61" t="str">
        <v>Research and Development</v>
      </c>
      <c r="Z61">
        <v>99683.67</v>
      </c>
      <c r="AA61" t="str">
        <v>50k to 100k</v>
      </c>
      <c r="AB61" s="57">
        <v>43500</v>
      </c>
      <c r="AC61">
        <v>1</v>
      </c>
      <c r="AD61" t="str">
        <v>Fixed Term</v>
      </c>
      <c r="AE61" t="str">
        <v>Seattle, USA</v>
      </c>
      <c r="AF61">
        <v>5.3808219178082188</v>
      </c>
      <c r="AG61" t="str">
        <v>Full time</v>
      </c>
      <c r="AJ61" t="str">
        <v>TN01281</v>
      </c>
      <c r="AK61" t="str">
        <v>Cletus</v>
      </c>
      <c r="AL61" t="str">
        <v>McGarahan</v>
      </c>
      <c r="AM61" t="str">
        <v>Female</v>
      </c>
      <c r="AN61" t="str">
        <v>Engineering</v>
      </c>
      <c r="AO61">
        <v>114425.19</v>
      </c>
      <c r="AP61" t="str">
        <v>Above 100k</v>
      </c>
      <c r="AQ61" s="39">
        <v>43857</v>
      </c>
      <c r="AR61">
        <v>1</v>
      </c>
      <c r="AS61" t="str">
        <v>Permanent</v>
      </c>
      <c r="AT61" t="str">
        <v>Wellington, New Zealand</v>
      </c>
      <c r="AU61">
        <v>4.4027397260273968</v>
      </c>
      <c r="AV61" t="str">
        <v>Full time</v>
      </c>
      <c r="AW61" t="str">
        <v>Monday</v>
      </c>
    </row>
    <row r="62" spans="5:49" x14ac:dyDescent="0.25">
      <c r="E62" t="str">
        <v>Monday</v>
      </c>
      <c r="F62" t="str">
        <v>PR02603</v>
      </c>
      <c r="G62" t="str">
        <v>Dinanath</v>
      </c>
      <c r="H62" t="str">
        <v>Simhambhatla</v>
      </c>
      <c r="I62" s="57" t="str">
        <v>Female</v>
      </c>
      <c r="J62" t="str">
        <v>Human Resources</v>
      </c>
      <c r="K62">
        <v>61994.76</v>
      </c>
      <c r="L62" t="str">
        <v>50k to 100k</v>
      </c>
      <c r="M62" s="39">
        <v>43794</v>
      </c>
      <c r="N62">
        <v>0.3</v>
      </c>
      <c r="O62" t="str">
        <v>Permanent</v>
      </c>
      <c r="P62" t="str">
        <v>Hyderabad, India</v>
      </c>
      <c r="Q62">
        <v>4.5753424657534243</v>
      </c>
      <c r="R62" t="str">
        <v>Part time</v>
      </c>
      <c r="U62" t="str">
        <v>TN03575</v>
      </c>
      <c r="V62" t="str">
        <v>Janina</v>
      </c>
      <c r="W62" t="str">
        <v>Wolverson</v>
      </c>
      <c r="X62" t="str">
        <v>Female</v>
      </c>
      <c r="Y62" t="str">
        <v>Research and Development</v>
      </c>
      <c r="Z62">
        <v>99683.67</v>
      </c>
      <c r="AA62" t="str">
        <v>50k to 100k</v>
      </c>
      <c r="AB62" s="57">
        <v>43500</v>
      </c>
      <c r="AC62">
        <v>1</v>
      </c>
      <c r="AD62" t="str">
        <v>Fixed Term</v>
      </c>
      <c r="AE62" t="str">
        <v>Seattle, USA</v>
      </c>
      <c r="AF62">
        <v>5.3808219178082188</v>
      </c>
      <c r="AG62" t="str">
        <v>Full time</v>
      </c>
      <c r="AJ62" t="str">
        <v>VT04552</v>
      </c>
      <c r="AK62" t="str">
        <v>Theresita</v>
      </c>
      <c r="AL62" t="str">
        <v>Chasmer</v>
      </c>
      <c r="AM62" t="str">
        <v>Female</v>
      </c>
      <c r="AN62" t="str">
        <v>Product Management</v>
      </c>
      <c r="AO62">
        <v>106665.67</v>
      </c>
      <c r="AP62" t="str">
        <v>Above 100k</v>
      </c>
      <c r="AQ62" s="39">
        <v>43311</v>
      </c>
      <c r="AR62">
        <v>1</v>
      </c>
      <c r="AS62" t="str">
        <v>Temporary</v>
      </c>
      <c r="AT62" t="str">
        <v>Columbus, USA</v>
      </c>
      <c r="AU62">
        <v>5.8986301369863012</v>
      </c>
      <c r="AV62" t="str">
        <v>Full time</v>
      </c>
      <c r="AW62" t="str">
        <v>Monday</v>
      </c>
    </row>
    <row r="63" spans="5:49" x14ac:dyDescent="0.25">
      <c r="E63" t="str">
        <v>Monday</v>
      </c>
      <c r="F63" t="str">
        <v>TN00083</v>
      </c>
      <c r="G63" t="str">
        <v>Chandana</v>
      </c>
      <c r="H63" t="str">
        <v>Sannidhi</v>
      </c>
      <c r="I63" s="57" t="str">
        <v>Female</v>
      </c>
      <c r="J63" t="str">
        <v>Business Development</v>
      </c>
      <c r="K63">
        <v>61688.77</v>
      </c>
      <c r="L63" t="str">
        <v>50k to 100k</v>
      </c>
      <c r="M63" s="39">
        <v>43346</v>
      </c>
      <c r="N63">
        <v>0.9</v>
      </c>
      <c r="O63" t="str">
        <v>Permanent</v>
      </c>
      <c r="P63" t="str">
        <v>Chennai, India</v>
      </c>
      <c r="Q63">
        <v>5.8027397260273972</v>
      </c>
      <c r="R63" t="str">
        <v>Part time</v>
      </c>
      <c r="U63" t="str">
        <v>TN01340</v>
      </c>
      <c r="V63" t="str">
        <v>Granny</v>
      </c>
      <c r="W63" t="str">
        <v>Spencelayh</v>
      </c>
      <c r="X63" t="str">
        <v>Male</v>
      </c>
      <c r="Y63" t="str">
        <v>Legal</v>
      </c>
      <c r="Z63">
        <v>99460.78</v>
      </c>
      <c r="AA63" t="str">
        <v>50k to 100k</v>
      </c>
      <c r="AB63" s="57">
        <v>43956</v>
      </c>
      <c r="AC63">
        <v>1</v>
      </c>
      <c r="AD63" t="str">
        <v>Permanent</v>
      </c>
      <c r="AE63" t="str">
        <v>Remote</v>
      </c>
      <c r="AF63">
        <v>4.1315068493150688</v>
      </c>
      <c r="AG63" t="str">
        <v>Full time</v>
      </c>
      <c r="AJ63" t="str">
        <v>TN04740</v>
      </c>
      <c r="AK63" t="str">
        <v>Tristam</v>
      </c>
      <c r="AL63" t="str">
        <v>Cuming</v>
      </c>
      <c r="AM63" t="str">
        <v>Female</v>
      </c>
      <c r="AN63" t="str">
        <v>Support</v>
      </c>
      <c r="AO63">
        <v>104038.9</v>
      </c>
      <c r="AP63" t="str">
        <v>Above 100k</v>
      </c>
      <c r="AQ63" s="39">
        <v>43815</v>
      </c>
      <c r="AR63">
        <v>1</v>
      </c>
      <c r="AS63" t="str">
        <v>Fixed Term</v>
      </c>
      <c r="AT63" t="str">
        <v>Remote</v>
      </c>
      <c r="AU63">
        <v>4.5178082191780824</v>
      </c>
      <c r="AV63" t="str">
        <v>Full time</v>
      </c>
      <c r="AW63" t="str">
        <v>Monday</v>
      </c>
    </row>
    <row r="64" spans="5:49" x14ac:dyDescent="0.25">
      <c r="E64" t="str">
        <v>Monday</v>
      </c>
      <c r="F64" t="str">
        <v>VT03988</v>
      </c>
      <c r="G64" t="str">
        <v>Venkat</v>
      </c>
      <c r="H64" t="str">
        <v>Kodi</v>
      </c>
      <c r="I64" s="57" t="str">
        <v>Female</v>
      </c>
      <c r="J64" t="str">
        <v>Support</v>
      </c>
      <c r="K64">
        <v>58935.92</v>
      </c>
      <c r="L64" t="str">
        <v>50k to 100k</v>
      </c>
      <c r="M64" s="39">
        <v>43717</v>
      </c>
      <c r="N64">
        <v>1</v>
      </c>
      <c r="O64" t="str">
        <v>Temporary</v>
      </c>
      <c r="P64" t="str">
        <v>Hyderabad, India</v>
      </c>
      <c r="Q64">
        <v>4.7863013698630139</v>
      </c>
      <c r="R64" t="str">
        <v>Full time</v>
      </c>
      <c r="U64" t="str">
        <v>TN04428</v>
      </c>
      <c r="V64" t="str">
        <v>Tadio</v>
      </c>
      <c r="W64" t="str">
        <v>Audritt</v>
      </c>
      <c r="X64" t="str">
        <v>Need to check</v>
      </c>
      <c r="Y64" t="str">
        <v>Human Resources</v>
      </c>
      <c r="Z64">
        <v>99448.78</v>
      </c>
      <c r="AA64" t="str">
        <v>50k to 100k</v>
      </c>
      <c r="AB64" s="57">
        <v>43473</v>
      </c>
      <c r="AC64">
        <v>1</v>
      </c>
      <c r="AD64" t="str">
        <v>Fixed Term</v>
      </c>
      <c r="AE64" t="str">
        <v>Wellington, New Zealand</v>
      </c>
      <c r="AF64">
        <v>5.4547945205479449</v>
      </c>
      <c r="AG64" t="str">
        <v>Full time</v>
      </c>
      <c r="AJ64" t="str">
        <v>SQ03491</v>
      </c>
      <c r="AK64" t="str">
        <v>Freda</v>
      </c>
      <c r="AL64" t="str">
        <v>Legan</v>
      </c>
      <c r="AM64" t="str">
        <v>Female</v>
      </c>
      <c r="AN64" t="str">
        <v>Sales</v>
      </c>
      <c r="AO64">
        <v>102129.37</v>
      </c>
      <c r="AP64" t="str">
        <v>Above 100k</v>
      </c>
      <c r="AQ64" s="39">
        <v>44396</v>
      </c>
      <c r="AR64">
        <v>1</v>
      </c>
      <c r="AS64" t="str">
        <v>Permanent</v>
      </c>
      <c r="AT64" t="str">
        <v>Columbus, USA</v>
      </c>
      <c r="AU64">
        <v>2.9260273972602739</v>
      </c>
      <c r="AV64" t="str">
        <v>Full time</v>
      </c>
      <c r="AW64" t="str">
        <v>Monday</v>
      </c>
    </row>
    <row r="65" spans="5:49" x14ac:dyDescent="0.25">
      <c r="E65" t="str">
        <v>Monday</v>
      </c>
      <c r="F65" t="str">
        <v>PR02016</v>
      </c>
      <c r="G65" t="str">
        <v>Iris</v>
      </c>
      <c r="H65" t="str">
        <v>Wagg</v>
      </c>
      <c r="I65" s="57" t="str">
        <v>Female</v>
      </c>
      <c r="J65" t="str">
        <v>Engineering</v>
      </c>
      <c r="K65">
        <v>58861.19</v>
      </c>
      <c r="L65" t="str">
        <v>50k to 100k</v>
      </c>
      <c r="M65" s="39">
        <v>43654</v>
      </c>
      <c r="N65">
        <v>1</v>
      </c>
      <c r="O65" t="str">
        <v>Permanent</v>
      </c>
      <c r="P65" t="str">
        <v>Columbus, USA</v>
      </c>
      <c r="Q65">
        <v>4.9589041095890414</v>
      </c>
      <c r="R65" t="str">
        <v>Full time</v>
      </c>
      <c r="U65" t="str">
        <v>TN04428</v>
      </c>
      <c r="V65" t="str">
        <v>Tadio</v>
      </c>
      <c r="W65" t="str">
        <v>Audritt</v>
      </c>
      <c r="X65" t="str">
        <v>Need to check</v>
      </c>
      <c r="Y65" t="str">
        <v>Human Resources</v>
      </c>
      <c r="Z65">
        <v>99448.78</v>
      </c>
      <c r="AA65" t="str">
        <v>50k to 100k</v>
      </c>
      <c r="AB65" s="57">
        <v>43473</v>
      </c>
      <c r="AC65">
        <v>1</v>
      </c>
      <c r="AD65" t="str">
        <v>Fixed Term</v>
      </c>
      <c r="AE65" t="str">
        <v>Wellington, New Zealand</v>
      </c>
      <c r="AF65">
        <v>5.4547945205479449</v>
      </c>
      <c r="AG65" t="str">
        <v>Full time</v>
      </c>
      <c r="AJ65" t="str">
        <v>TN04246</v>
      </c>
      <c r="AK65" t="str">
        <v>Shaylyn</v>
      </c>
      <c r="AL65" t="str">
        <v>Ransbury</v>
      </c>
      <c r="AM65" t="str">
        <v>Female</v>
      </c>
      <c r="AN65" t="str">
        <v>Support</v>
      </c>
      <c r="AO65">
        <v>100371.31</v>
      </c>
      <c r="AP65" t="str">
        <v>Above 100k</v>
      </c>
      <c r="AQ65" s="39">
        <v>44067</v>
      </c>
      <c r="AR65">
        <v>0.8</v>
      </c>
      <c r="AS65" t="str">
        <v>Fixed Term</v>
      </c>
      <c r="AT65" t="str">
        <v>Auckland, New Zealand</v>
      </c>
      <c r="AU65">
        <v>3.8273972602739725</v>
      </c>
      <c r="AV65" t="str">
        <v>Part time</v>
      </c>
      <c r="AW65" t="str">
        <v>Monday</v>
      </c>
    </row>
    <row r="66" spans="5:49" x14ac:dyDescent="0.25">
      <c r="E66" t="str">
        <v>Monday</v>
      </c>
      <c r="F66" t="str">
        <v>VT04415</v>
      </c>
      <c r="G66" t="str">
        <v>Malory</v>
      </c>
      <c r="H66" t="str">
        <v>Biles</v>
      </c>
      <c r="I66" s="57" t="str">
        <v>Female</v>
      </c>
      <c r="J66" t="str">
        <v>Training</v>
      </c>
      <c r="K66">
        <v>58744.17</v>
      </c>
      <c r="L66" t="str">
        <v>50k to 100k</v>
      </c>
      <c r="M66" s="39">
        <v>43171</v>
      </c>
      <c r="N66">
        <v>1</v>
      </c>
      <c r="O66" t="str">
        <v>Temporary</v>
      </c>
      <c r="P66" t="str">
        <v>Columbus, USA</v>
      </c>
      <c r="Q66">
        <v>6.2821917808219174</v>
      </c>
      <c r="R66" t="str">
        <v>Full time</v>
      </c>
      <c r="U66" t="str">
        <v>TN02377</v>
      </c>
      <c r="V66" t="str">
        <v>Anjela</v>
      </c>
      <c r="W66" t="str">
        <v>Spancock</v>
      </c>
      <c r="X66" t="str">
        <v>Need to check</v>
      </c>
      <c r="Y66" t="str">
        <v>Accounting</v>
      </c>
      <c r="Z66">
        <v>98012.63</v>
      </c>
      <c r="AA66" t="str">
        <v>50k to 100k</v>
      </c>
      <c r="AB66" s="57">
        <v>43780</v>
      </c>
      <c r="AC66">
        <v>1</v>
      </c>
      <c r="AD66" t="str">
        <v>Permanent</v>
      </c>
      <c r="AE66" t="str">
        <v>Remote</v>
      </c>
      <c r="AF66">
        <v>4.6136986301369864</v>
      </c>
      <c r="AG66" t="str">
        <v>Full time</v>
      </c>
      <c r="AJ66" t="str">
        <v>TN03575</v>
      </c>
      <c r="AK66" t="str">
        <v>Janina</v>
      </c>
      <c r="AL66" t="str">
        <v>Wolverson</v>
      </c>
      <c r="AM66" t="str">
        <v>Female</v>
      </c>
      <c r="AN66" t="str">
        <v>Research and Development</v>
      </c>
      <c r="AO66">
        <v>99683.67</v>
      </c>
      <c r="AP66" t="str">
        <v>50k to 100k</v>
      </c>
      <c r="AQ66" s="39">
        <v>43500</v>
      </c>
      <c r="AR66">
        <v>1</v>
      </c>
      <c r="AS66" t="str">
        <v>Fixed Term</v>
      </c>
      <c r="AT66" t="str">
        <v>Seattle, USA</v>
      </c>
      <c r="AU66">
        <v>5.3808219178082188</v>
      </c>
      <c r="AV66" t="str">
        <v>Full time</v>
      </c>
      <c r="AW66" t="str">
        <v>Monday</v>
      </c>
    </row>
    <row r="67" spans="5:49" x14ac:dyDescent="0.25">
      <c r="E67" t="str">
        <v>Monday</v>
      </c>
      <c r="F67" t="str">
        <v>TN02749</v>
      </c>
      <c r="G67" t="str">
        <v>Parasuramudu</v>
      </c>
      <c r="H67" t="str">
        <v>Jamakayala</v>
      </c>
      <c r="I67" s="57" t="str">
        <v>Female</v>
      </c>
      <c r="J67" t="str">
        <v>Training</v>
      </c>
      <c r="K67">
        <v>57002.02</v>
      </c>
      <c r="L67" t="str">
        <v>50k to 100k</v>
      </c>
      <c r="M67" s="39">
        <v>43192</v>
      </c>
      <c r="N67">
        <v>0.7</v>
      </c>
      <c r="O67" t="str">
        <v>Permanent</v>
      </c>
      <c r="P67" t="str">
        <v>Hyderabad, India</v>
      </c>
      <c r="Q67">
        <v>6.2246575342465755</v>
      </c>
      <c r="R67" t="str">
        <v>Part time</v>
      </c>
      <c r="U67" t="str">
        <v>PR04686</v>
      </c>
      <c r="V67" t="str">
        <v>Oona</v>
      </c>
      <c r="W67" t="str">
        <v>Donan</v>
      </c>
      <c r="X67" t="str">
        <v>Female</v>
      </c>
      <c r="Y67" t="str">
        <v>Business Development</v>
      </c>
      <c r="Z67">
        <v>98000</v>
      </c>
      <c r="AA67" t="str">
        <v>50k to 100k</v>
      </c>
      <c r="AB67" s="57">
        <v>43710</v>
      </c>
      <c r="AC67">
        <v>0.9</v>
      </c>
      <c r="AD67" t="str">
        <v>Permanent</v>
      </c>
      <c r="AE67" t="str">
        <v>Seattle, USA</v>
      </c>
      <c r="AF67">
        <v>4.8054794520547945</v>
      </c>
      <c r="AG67" t="str">
        <v>Part time</v>
      </c>
      <c r="AJ67" t="str">
        <v>TN03575</v>
      </c>
      <c r="AK67" t="str">
        <v>Janina</v>
      </c>
      <c r="AL67" t="str">
        <v>Wolverson</v>
      </c>
      <c r="AM67" t="str">
        <v>Female</v>
      </c>
      <c r="AN67" t="str">
        <v>Research and Development</v>
      </c>
      <c r="AO67">
        <v>99683.67</v>
      </c>
      <c r="AP67" t="str">
        <v>50k to 100k</v>
      </c>
      <c r="AQ67" s="39">
        <v>43500</v>
      </c>
      <c r="AR67">
        <v>1</v>
      </c>
      <c r="AS67" t="str">
        <v>Fixed Term</v>
      </c>
      <c r="AT67" t="str">
        <v>Seattle, USA</v>
      </c>
      <c r="AU67">
        <v>5.3808219178082188</v>
      </c>
      <c r="AV67" t="str">
        <v>Full time</v>
      </c>
      <c r="AW67" t="str">
        <v>Monday</v>
      </c>
    </row>
    <row r="68" spans="5:49" x14ac:dyDescent="0.25">
      <c r="E68" t="str">
        <v>Monday</v>
      </c>
      <c r="F68" t="str">
        <v>VT00740</v>
      </c>
      <c r="G68" t="str">
        <v>Chitrasen</v>
      </c>
      <c r="H68" t="str">
        <v>Laul</v>
      </c>
      <c r="I68" s="57" t="str">
        <v>Female</v>
      </c>
      <c r="J68" t="str">
        <v>Research and Development</v>
      </c>
      <c r="K68">
        <v>46751.7</v>
      </c>
      <c r="L68" t="str">
        <v>Under 50k</v>
      </c>
      <c r="M68" s="39">
        <v>43843</v>
      </c>
      <c r="N68">
        <v>1</v>
      </c>
      <c r="O68" t="str">
        <v>Fixed Term</v>
      </c>
      <c r="P68" t="str">
        <v>Hyderabad, India</v>
      </c>
      <c r="Q68">
        <v>4.441095890410959</v>
      </c>
      <c r="R68" t="str">
        <v>Full time</v>
      </c>
      <c r="U68" t="str">
        <v>PR01269</v>
      </c>
      <c r="V68" t="str">
        <v>Eleonore</v>
      </c>
      <c r="W68" t="str">
        <v>Airdrie</v>
      </c>
      <c r="X68" t="str">
        <v>Female</v>
      </c>
      <c r="Y68" t="str">
        <v>Engineering</v>
      </c>
      <c r="Z68">
        <v>97105.19</v>
      </c>
      <c r="AA68" t="str">
        <v>50k to 100k</v>
      </c>
      <c r="AB68" s="57">
        <v>44425</v>
      </c>
      <c r="AC68">
        <v>1</v>
      </c>
      <c r="AD68" t="str">
        <v>Permanent</v>
      </c>
      <c r="AE68" t="str">
        <v>Columbus, USA</v>
      </c>
      <c r="AF68">
        <v>2.8465753424657536</v>
      </c>
      <c r="AG68" t="str">
        <v>Full time</v>
      </c>
      <c r="AJ68" t="str">
        <v>PR04686</v>
      </c>
      <c r="AK68" t="str">
        <v>Oona</v>
      </c>
      <c r="AL68" t="str">
        <v>Donan</v>
      </c>
      <c r="AM68" t="str">
        <v>Female</v>
      </c>
      <c r="AN68" t="str">
        <v>Business Development</v>
      </c>
      <c r="AO68">
        <v>98000</v>
      </c>
      <c r="AP68" t="str">
        <v>50k to 100k</v>
      </c>
      <c r="AQ68" s="39">
        <v>43710</v>
      </c>
      <c r="AR68">
        <v>0.9</v>
      </c>
      <c r="AS68" t="str">
        <v>Permanent</v>
      </c>
      <c r="AT68" t="str">
        <v>Seattle, USA</v>
      </c>
      <c r="AU68">
        <v>4.8054794520547945</v>
      </c>
      <c r="AV68" t="str">
        <v>Part time</v>
      </c>
      <c r="AW68" t="str">
        <v>Monday</v>
      </c>
    </row>
    <row r="69" spans="5:49" x14ac:dyDescent="0.25">
      <c r="E69" t="str">
        <v>Monday</v>
      </c>
      <c r="F69" t="str">
        <v>SQ01402</v>
      </c>
      <c r="G69" t="str">
        <v>Sahaj</v>
      </c>
      <c r="H69" t="str">
        <v>Jonnalagadda</v>
      </c>
      <c r="I69" s="57" t="str">
        <v>Female</v>
      </c>
      <c r="J69" t="str">
        <v>Engineering</v>
      </c>
      <c r="K69">
        <v>44403.77</v>
      </c>
      <c r="L69" t="str">
        <v>Under 50k</v>
      </c>
      <c r="M69" s="39">
        <v>43416</v>
      </c>
      <c r="N69">
        <v>1</v>
      </c>
      <c r="O69" t="str">
        <v>Permanent</v>
      </c>
      <c r="P69" t="str">
        <v>Hyderabad, India</v>
      </c>
      <c r="Q69">
        <v>5.6109589041095891</v>
      </c>
      <c r="R69" t="str">
        <v>Full time</v>
      </c>
      <c r="U69" t="str">
        <v>TN02674</v>
      </c>
      <c r="V69" t="str">
        <v>Antonetta</v>
      </c>
      <c r="W69" t="str">
        <v>Coggeshall</v>
      </c>
      <c r="X69" t="str">
        <v>Male</v>
      </c>
      <c r="Y69" t="str">
        <v>Sales</v>
      </c>
      <c r="Z69">
        <v>96753.78</v>
      </c>
      <c r="AA69" t="str">
        <v>50k to 100k</v>
      </c>
      <c r="AB69" s="57">
        <v>44494</v>
      </c>
      <c r="AC69">
        <v>1</v>
      </c>
      <c r="AD69" t="str">
        <v>Permanent</v>
      </c>
      <c r="AE69" t="str">
        <v>Auckland, New Zealand</v>
      </c>
      <c r="AF69">
        <v>2.6575342465753424</v>
      </c>
      <c r="AG69" t="str">
        <v>Full time</v>
      </c>
      <c r="AJ69" t="str">
        <v>PR00007</v>
      </c>
      <c r="AK69" t="str">
        <v>Torrance</v>
      </c>
      <c r="AL69" t="str">
        <v>Collier</v>
      </c>
      <c r="AM69" t="str">
        <v>Female</v>
      </c>
      <c r="AN69" t="str">
        <v>Training</v>
      </c>
      <c r="AO69">
        <v>96135.75</v>
      </c>
      <c r="AP69" t="str">
        <v>50k to 100k</v>
      </c>
      <c r="AQ69" s="39">
        <v>44025</v>
      </c>
      <c r="AR69">
        <v>0.3</v>
      </c>
      <c r="AS69" t="str">
        <v>Permanent</v>
      </c>
      <c r="AT69" t="str">
        <v>Wellington, New Zealand</v>
      </c>
      <c r="AU69">
        <v>3.9424657534246577</v>
      </c>
      <c r="AV69" t="str">
        <v>Part time</v>
      </c>
      <c r="AW69" t="str">
        <v>Monday</v>
      </c>
    </row>
    <row r="70" spans="5:49" x14ac:dyDescent="0.25">
      <c r="E70" t="str">
        <v>Monday</v>
      </c>
      <c r="F70" t="str">
        <v>VT00578</v>
      </c>
      <c r="G70" t="str">
        <v>Magnum</v>
      </c>
      <c r="H70" t="str">
        <v>Locksley</v>
      </c>
      <c r="I70" s="57" t="str">
        <v>Female</v>
      </c>
      <c r="J70" t="str">
        <v>Services</v>
      </c>
      <c r="K70">
        <v>42314.39</v>
      </c>
      <c r="L70" t="str">
        <v>Under 50k</v>
      </c>
      <c r="M70" s="39">
        <v>44487</v>
      </c>
      <c r="N70">
        <v>1</v>
      </c>
      <c r="O70" t="str">
        <v>Fixed Term</v>
      </c>
      <c r="P70" t="str">
        <v>Remote</v>
      </c>
      <c r="Q70">
        <v>2.6767123287671235</v>
      </c>
      <c r="R70" t="str">
        <v>Full time</v>
      </c>
      <c r="U70" t="str">
        <v>TN02674</v>
      </c>
      <c r="V70" t="str">
        <v>Antonetta</v>
      </c>
      <c r="W70" t="str">
        <v>Coggeshall</v>
      </c>
      <c r="X70" t="str">
        <v>Male</v>
      </c>
      <c r="Y70" t="str">
        <v>Sales</v>
      </c>
      <c r="Z70">
        <v>96753.78</v>
      </c>
      <c r="AA70" t="str">
        <v>50k to 100k</v>
      </c>
      <c r="AB70" s="57">
        <v>44494</v>
      </c>
      <c r="AC70">
        <v>1</v>
      </c>
      <c r="AD70" t="str">
        <v>Permanent</v>
      </c>
      <c r="AE70" t="str">
        <v>Auckland, New Zealand</v>
      </c>
      <c r="AF70">
        <v>2.6575342465753424</v>
      </c>
      <c r="AG70" t="str">
        <v>Full time</v>
      </c>
      <c r="AJ70" t="str">
        <v>SQ03626</v>
      </c>
      <c r="AK70" t="str">
        <v>Krishnakanta</v>
      </c>
      <c r="AL70" t="str">
        <v>Vellanki</v>
      </c>
      <c r="AM70" t="str">
        <v>Female</v>
      </c>
      <c r="AN70" t="str">
        <v>Training</v>
      </c>
      <c r="AO70">
        <v>95677.9</v>
      </c>
      <c r="AP70" t="str">
        <v>50k to 100k</v>
      </c>
      <c r="AQ70" s="39">
        <v>44396</v>
      </c>
      <c r="AR70">
        <v>0.3</v>
      </c>
      <c r="AS70" t="str">
        <v>Permanent</v>
      </c>
      <c r="AT70" t="str">
        <v>Chennai, India</v>
      </c>
      <c r="AU70">
        <v>2.9260273972602739</v>
      </c>
      <c r="AV70" t="str">
        <v>Part time</v>
      </c>
      <c r="AW70" t="str">
        <v>Monday</v>
      </c>
    </row>
    <row r="71" spans="5:49" x14ac:dyDescent="0.25">
      <c r="E71" t="str">
        <v>Monday</v>
      </c>
      <c r="F71" t="str">
        <v>PR02275</v>
      </c>
      <c r="G71" t="str">
        <v>Louise</v>
      </c>
      <c r="H71" t="str">
        <v>Lamming</v>
      </c>
      <c r="I71" s="57" t="str">
        <v>Female</v>
      </c>
      <c r="J71" t="str">
        <v>Sales</v>
      </c>
      <c r="K71">
        <v>41934.71</v>
      </c>
      <c r="L71" t="str">
        <v>Under 50k</v>
      </c>
      <c r="M71" s="39">
        <v>43780</v>
      </c>
      <c r="N71">
        <v>1</v>
      </c>
      <c r="O71" t="str">
        <v>Permanent</v>
      </c>
      <c r="P71" t="str">
        <v>Remote</v>
      </c>
      <c r="Q71">
        <v>4.6136986301369864</v>
      </c>
      <c r="R71" t="str">
        <v>Full time</v>
      </c>
      <c r="U71" t="str">
        <v>VT02319</v>
      </c>
      <c r="V71" t="str">
        <v>Tarala</v>
      </c>
      <c r="W71" t="str">
        <v>Vishaal</v>
      </c>
      <c r="X71" t="str">
        <v>Female</v>
      </c>
      <c r="Y71" t="str">
        <v>Research and Development</v>
      </c>
      <c r="Z71">
        <v>96555.53</v>
      </c>
      <c r="AA71" t="str">
        <v>50k to 100k</v>
      </c>
      <c r="AB71" s="57">
        <v>43489</v>
      </c>
      <c r="AC71">
        <v>0.2</v>
      </c>
      <c r="AD71" t="str">
        <v>Temporary</v>
      </c>
      <c r="AE71" t="str">
        <v>Hyderabad, India</v>
      </c>
      <c r="AF71">
        <v>5.4109589041095889</v>
      </c>
      <c r="AG71" t="str">
        <v>Part time</v>
      </c>
      <c r="AJ71" t="str">
        <v>VT01803</v>
      </c>
      <c r="AK71" t="str">
        <v>Freddy</v>
      </c>
      <c r="AL71" t="str">
        <v>Linford</v>
      </c>
      <c r="AM71" t="str">
        <v>Female</v>
      </c>
      <c r="AN71" t="str">
        <v>Training</v>
      </c>
      <c r="AO71">
        <v>93128.34</v>
      </c>
      <c r="AP71" t="str">
        <v>50k to 100k</v>
      </c>
      <c r="AQ71" s="39">
        <v>43164</v>
      </c>
      <c r="AR71">
        <v>1</v>
      </c>
      <c r="AS71" t="str">
        <v>Fixed Term</v>
      </c>
      <c r="AT71" t="str">
        <v>Seattle, USA</v>
      </c>
      <c r="AU71">
        <v>6.3013698630136989</v>
      </c>
      <c r="AV71" t="str">
        <v>Full time</v>
      </c>
      <c r="AW71" t="str">
        <v>Monday</v>
      </c>
    </row>
    <row r="72" spans="5:49" x14ac:dyDescent="0.25">
      <c r="E72" t="str">
        <v>Monday</v>
      </c>
      <c r="F72" t="str">
        <v>SQ00914</v>
      </c>
      <c r="G72" t="str">
        <v>Duran</v>
      </c>
      <c r="H72" t="str">
        <v>Appala</v>
      </c>
      <c r="I72" s="57" t="str">
        <v>Female</v>
      </c>
      <c r="J72" t="str">
        <v>Product Management</v>
      </c>
      <c r="K72">
        <v>38438.239999999998</v>
      </c>
      <c r="L72" t="str">
        <v>Under 50k</v>
      </c>
      <c r="M72" s="39">
        <v>43962</v>
      </c>
      <c r="N72">
        <v>1</v>
      </c>
      <c r="O72" t="str">
        <v>Permanent</v>
      </c>
      <c r="P72" t="str">
        <v>Chennai, India</v>
      </c>
      <c r="Q72">
        <v>4.1150684931506847</v>
      </c>
      <c r="R72" t="str">
        <v>Full time</v>
      </c>
      <c r="U72" t="str">
        <v>PR00007</v>
      </c>
      <c r="V72" t="str">
        <v>Torrance</v>
      </c>
      <c r="W72" t="str">
        <v>Collier</v>
      </c>
      <c r="X72" t="str">
        <v>Female</v>
      </c>
      <c r="Y72" t="str">
        <v>Training</v>
      </c>
      <c r="Z72">
        <v>96135.75</v>
      </c>
      <c r="AA72" t="str">
        <v>50k to 100k</v>
      </c>
      <c r="AB72" s="57">
        <v>44025</v>
      </c>
      <c r="AC72">
        <v>0.3</v>
      </c>
      <c r="AD72" t="str">
        <v>Permanent</v>
      </c>
      <c r="AE72" t="str">
        <v>Wellington, New Zealand</v>
      </c>
      <c r="AF72">
        <v>3.9424657534246577</v>
      </c>
      <c r="AG72" t="str">
        <v>Part time</v>
      </c>
      <c r="AJ72" t="str">
        <v>TN04175</v>
      </c>
      <c r="AK72" t="str">
        <v>Hinda</v>
      </c>
      <c r="AL72" t="str">
        <v>Label</v>
      </c>
      <c r="AM72" t="str">
        <v>Female</v>
      </c>
      <c r="AN72" t="str">
        <v>Human Resources</v>
      </c>
      <c r="AO72">
        <v>92704.48</v>
      </c>
      <c r="AP72" t="str">
        <v>50k to 100k</v>
      </c>
      <c r="AQ72" s="39">
        <v>43430</v>
      </c>
      <c r="AR72">
        <v>1</v>
      </c>
      <c r="AS72" t="str">
        <v>Fixed Term</v>
      </c>
      <c r="AT72" t="str">
        <v>Columbus, USA</v>
      </c>
      <c r="AU72">
        <v>5.5726027397260278</v>
      </c>
      <c r="AV72" t="str">
        <v>Full time</v>
      </c>
      <c r="AW72" t="str">
        <v>Monday</v>
      </c>
    </row>
    <row r="73" spans="5:49" x14ac:dyDescent="0.25">
      <c r="E73" t="str">
        <v>Monday</v>
      </c>
      <c r="F73" t="str">
        <v>SQ00914</v>
      </c>
      <c r="G73" t="str">
        <v>Karuna</v>
      </c>
      <c r="H73" t="str">
        <v>Pashupathy</v>
      </c>
      <c r="I73" s="57" t="str">
        <v>Female</v>
      </c>
      <c r="J73" t="str">
        <v>Product Management</v>
      </c>
      <c r="K73">
        <v>38438.239999999998</v>
      </c>
      <c r="L73" t="str">
        <v>Under 50k</v>
      </c>
      <c r="M73" s="39">
        <v>43962</v>
      </c>
      <c r="N73">
        <v>1</v>
      </c>
      <c r="O73" t="str">
        <v>Permanent</v>
      </c>
      <c r="P73" t="str">
        <v>Chennai, India</v>
      </c>
      <c r="Q73">
        <v>4.1150684931506847</v>
      </c>
      <c r="R73" t="str">
        <v>Full time</v>
      </c>
      <c r="U73" t="str">
        <v>PR02140</v>
      </c>
      <c r="V73" t="str">
        <v>Anjushri</v>
      </c>
      <c r="W73" t="str">
        <v>Chandiramani</v>
      </c>
      <c r="X73" t="str">
        <v>Male</v>
      </c>
      <c r="Y73" t="str">
        <v>Accounting</v>
      </c>
      <c r="Z73">
        <v>95954.02</v>
      </c>
      <c r="AA73" t="str">
        <v>50k to 100k</v>
      </c>
      <c r="AB73" s="57">
        <v>43567</v>
      </c>
      <c r="AC73">
        <v>0.3</v>
      </c>
      <c r="AD73" t="str">
        <v>Permanent</v>
      </c>
      <c r="AE73" t="str">
        <v>Hyderabad, India</v>
      </c>
      <c r="AF73">
        <v>5.1972602739726028</v>
      </c>
      <c r="AG73" t="str">
        <v>Part time</v>
      </c>
      <c r="AJ73" t="str">
        <v>PR04446</v>
      </c>
      <c r="AK73" t="str">
        <v>Sameer</v>
      </c>
      <c r="AL73" t="str">
        <v>Shashank</v>
      </c>
      <c r="AM73" t="str">
        <v>Female</v>
      </c>
      <c r="AN73" t="str">
        <v>Research and Development</v>
      </c>
      <c r="AO73">
        <v>92336.08</v>
      </c>
      <c r="AP73" t="str">
        <v>50k to 100k</v>
      </c>
      <c r="AQ73" s="39">
        <v>44431</v>
      </c>
      <c r="AR73">
        <v>1</v>
      </c>
      <c r="AS73" t="str">
        <v>Permanent</v>
      </c>
      <c r="AT73" t="str">
        <v>Hyderabad, India</v>
      </c>
      <c r="AU73">
        <v>2.8301369863013699</v>
      </c>
      <c r="AV73" t="str">
        <v>Full time</v>
      </c>
      <c r="AW73" t="str">
        <v>Monday</v>
      </c>
    </row>
    <row r="74" spans="5:49" x14ac:dyDescent="0.25">
      <c r="E74" t="str">
        <v>Monday</v>
      </c>
      <c r="F74" t="str">
        <v>VT02532</v>
      </c>
      <c r="G74" t="str">
        <v>Adey</v>
      </c>
      <c r="H74" t="str">
        <v>Ryal</v>
      </c>
      <c r="I74" s="57" t="str">
        <v>Female</v>
      </c>
      <c r="J74" t="str">
        <v>Legal</v>
      </c>
      <c r="K74">
        <v>32496.880000000001</v>
      </c>
      <c r="L74" t="str">
        <v>Under 50k</v>
      </c>
      <c r="M74" s="39">
        <v>43234</v>
      </c>
      <c r="N74">
        <v>1</v>
      </c>
      <c r="O74" t="str">
        <v>Temporary</v>
      </c>
      <c r="P74" t="str">
        <v>Remote</v>
      </c>
      <c r="Q74">
        <v>6.1095890410958908</v>
      </c>
      <c r="R74" t="str">
        <v>Full time</v>
      </c>
      <c r="U74" t="str">
        <v>SQ03626</v>
      </c>
      <c r="V74" t="str">
        <v>Krishnakanta</v>
      </c>
      <c r="W74" t="str">
        <v>Vellanki</v>
      </c>
      <c r="X74" t="str">
        <v>Female</v>
      </c>
      <c r="Y74" t="str">
        <v>Training</v>
      </c>
      <c r="Z74">
        <v>95677.9</v>
      </c>
      <c r="AA74" t="str">
        <v>50k to 100k</v>
      </c>
      <c r="AB74" s="57">
        <v>44396</v>
      </c>
      <c r="AC74">
        <v>0.3</v>
      </c>
      <c r="AD74" t="str">
        <v>Permanent</v>
      </c>
      <c r="AE74" t="str">
        <v>Chennai, India</v>
      </c>
      <c r="AF74">
        <v>2.9260273972602739</v>
      </c>
      <c r="AG74" t="str">
        <v>Part time</v>
      </c>
      <c r="AJ74" t="str">
        <v>VT03701</v>
      </c>
      <c r="AK74" t="str">
        <v>Narois</v>
      </c>
      <c r="AL74" t="str">
        <v>Motiwala</v>
      </c>
      <c r="AM74" t="str">
        <v>Female</v>
      </c>
      <c r="AN74" t="str">
        <v>Product Management</v>
      </c>
      <c r="AO74">
        <v>89829.33</v>
      </c>
      <c r="AP74" t="str">
        <v>50k to 100k</v>
      </c>
      <c r="AQ74" s="39">
        <v>43794</v>
      </c>
      <c r="AR74">
        <v>1</v>
      </c>
      <c r="AS74" t="str">
        <v>Temporary</v>
      </c>
      <c r="AT74" t="str">
        <v>Chennai, India</v>
      </c>
      <c r="AU74">
        <v>4.5753424657534243</v>
      </c>
      <c r="AV74" t="str">
        <v>Full time</v>
      </c>
      <c r="AW74" t="str">
        <v>Monday</v>
      </c>
    </row>
    <row r="75" spans="5:49" x14ac:dyDescent="0.25">
      <c r="E75" t="str">
        <v>Monday</v>
      </c>
      <c r="F75" t="str">
        <v>SQ01730</v>
      </c>
      <c r="G75" t="str">
        <v>Austine</v>
      </c>
      <c r="H75" t="str">
        <v>Littlewood</v>
      </c>
      <c r="I75" s="57" t="str">
        <v>Female</v>
      </c>
      <c r="J75" t="str">
        <v>Services</v>
      </c>
      <c r="K75">
        <v>32269.91</v>
      </c>
      <c r="L75" t="str">
        <v>Under 50k</v>
      </c>
      <c r="M75" s="39">
        <v>43346</v>
      </c>
      <c r="N75">
        <v>1</v>
      </c>
      <c r="O75" t="str">
        <v>Permanent</v>
      </c>
      <c r="P75" t="str">
        <v>Remote</v>
      </c>
      <c r="Q75">
        <v>5.8027397260273972</v>
      </c>
      <c r="R75" t="str">
        <v>Full time</v>
      </c>
      <c r="U75" t="str">
        <v>VT01101</v>
      </c>
      <c r="V75" t="str">
        <v>Adela</v>
      </c>
      <c r="W75" t="str">
        <v>Dowsett</v>
      </c>
      <c r="X75" t="str">
        <v>Male</v>
      </c>
      <c r="Y75" t="str">
        <v>Support</v>
      </c>
      <c r="Z75">
        <v>95017.1</v>
      </c>
      <c r="AA75" t="str">
        <v>50k to 100k</v>
      </c>
      <c r="AB75" s="57">
        <v>43283</v>
      </c>
      <c r="AC75">
        <v>1</v>
      </c>
      <c r="AD75" t="str">
        <v>Fixed Term</v>
      </c>
      <c r="AE75" t="str">
        <v>Seattle, USA</v>
      </c>
      <c r="AF75">
        <v>5.9753424657534246</v>
      </c>
      <c r="AG75" t="str">
        <v>Full time</v>
      </c>
      <c r="AJ75" t="str">
        <v>PR03158</v>
      </c>
      <c r="AK75" t="str">
        <v>Danica</v>
      </c>
      <c r="AL75" t="str">
        <v>Nayshe</v>
      </c>
      <c r="AM75" t="str">
        <v>Female</v>
      </c>
      <c r="AN75" t="str">
        <v>Services</v>
      </c>
      <c r="AO75">
        <v>89690.38</v>
      </c>
      <c r="AP75" t="str">
        <v>50k to 100k</v>
      </c>
      <c r="AQ75" s="39">
        <v>43206</v>
      </c>
      <c r="AR75">
        <v>1</v>
      </c>
      <c r="AS75" t="str">
        <v>Permanent</v>
      </c>
      <c r="AT75" t="str">
        <v>Wellington, New Zealand</v>
      </c>
      <c r="AU75">
        <v>6.1863013698630134</v>
      </c>
      <c r="AV75" t="str">
        <v>Full time</v>
      </c>
      <c r="AW75" t="str">
        <v>Monday</v>
      </c>
    </row>
    <row r="76" spans="5:49" x14ac:dyDescent="0.25">
      <c r="E76" t="str">
        <v>Monday</v>
      </c>
      <c r="F76" t="str">
        <v>VT01249</v>
      </c>
      <c r="G76" t="str">
        <v>Brendan</v>
      </c>
      <c r="H76" t="str">
        <v>Edgeller</v>
      </c>
      <c r="I76" s="57" t="str">
        <v>Female</v>
      </c>
      <c r="J76" t="str">
        <v>Legal</v>
      </c>
      <c r="K76">
        <v>31042.51</v>
      </c>
      <c r="L76" t="str">
        <v>Under 50k</v>
      </c>
      <c r="M76" s="39">
        <v>44473</v>
      </c>
      <c r="N76">
        <v>0.3</v>
      </c>
      <c r="O76" t="str">
        <v>Fixed Term</v>
      </c>
      <c r="P76" t="str">
        <v>Remote</v>
      </c>
      <c r="Q76">
        <v>2.7150684931506848</v>
      </c>
      <c r="R76" t="str">
        <v>Part time</v>
      </c>
      <c r="U76" t="str">
        <v>TN00328</v>
      </c>
      <c r="V76" t="str">
        <v>Jeannie</v>
      </c>
      <c r="W76" t="str">
        <v>Petracco</v>
      </c>
      <c r="X76" t="str">
        <v>Female</v>
      </c>
      <c r="Y76" t="str">
        <v>Engineering</v>
      </c>
      <c r="Z76">
        <v>94815.28</v>
      </c>
      <c r="AA76" t="str">
        <v>50k to 100k</v>
      </c>
      <c r="AB76" s="57">
        <v>43440</v>
      </c>
      <c r="AC76">
        <v>1</v>
      </c>
      <c r="AD76" t="str">
        <v>Permanent</v>
      </c>
      <c r="AE76" t="str">
        <v>Seattle, USA</v>
      </c>
      <c r="AF76">
        <v>5.5452054794520551</v>
      </c>
      <c r="AG76" t="str">
        <v>Full time</v>
      </c>
      <c r="AJ76" t="str">
        <v>SQ00841</v>
      </c>
      <c r="AK76" t="str">
        <v>Bhuvan</v>
      </c>
      <c r="AL76" t="str">
        <v>Pals</v>
      </c>
      <c r="AM76" t="str">
        <v>Female</v>
      </c>
      <c r="AN76" t="str">
        <v>Services</v>
      </c>
      <c r="AO76">
        <v>89690.38</v>
      </c>
      <c r="AP76" t="str">
        <v>50k to 100k</v>
      </c>
      <c r="AQ76" s="39">
        <v>43213</v>
      </c>
      <c r="AR76">
        <v>1</v>
      </c>
      <c r="AS76" t="str">
        <v>Permanent</v>
      </c>
      <c r="AT76" t="str">
        <v>Hyderabad, India</v>
      </c>
      <c r="AU76">
        <v>6.1671232876712327</v>
      </c>
      <c r="AV76" t="str">
        <v>Full time</v>
      </c>
      <c r="AW76" t="str">
        <v>Monday</v>
      </c>
    </row>
    <row r="77" spans="5:49" x14ac:dyDescent="0.25">
      <c r="I77" s="57"/>
      <c r="U77" t="str">
        <v>TN04265</v>
      </c>
      <c r="V77" t="str">
        <v>Rushil</v>
      </c>
      <c r="W77" t="str">
        <v>Kripa</v>
      </c>
      <c r="X77" t="str">
        <v>Female</v>
      </c>
      <c r="Y77" t="str">
        <v>Training</v>
      </c>
      <c r="Z77">
        <v>93964.3</v>
      </c>
      <c r="AA77" t="str">
        <v>50k to 100k</v>
      </c>
      <c r="AB77" s="57">
        <v>44454</v>
      </c>
      <c r="AC77">
        <v>0.4</v>
      </c>
      <c r="AD77" t="str">
        <v>Fixed Term</v>
      </c>
      <c r="AE77" t="str">
        <v>Hyderabad, India</v>
      </c>
      <c r="AF77">
        <v>2.7671232876712328</v>
      </c>
      <c r="AG77" t="str">
        <v>Part time</v>
      </c>
      <c r="AJ77" t="str">
        <v>SQ00105</v>
      </c>
      <c r="AK77" t="str">
        <v>Sarayu</v>
      </c>
      <c r="AL77" t="str">
        <v>Ragunathan</v>
      </c>
      <c r="AM77" t="str">
        <v>Female</v>
      </c>
      <c r="AN77" t="str">
        <v>Training</v>
      </c>
      <c r="AO77">
        <v>86010.54</v>
      </c>
      <c r="AP77" t="str">
        <v>50k to 100k</v>
      </c>
      <c r="AQ77" s="39">
        <v>43164</v>
      </c>
      <c r="AR77">
        <v>1</v>
      </c>
      <c r="AS77" t="str">
        <v>Permanent</v>
      </c>
      <c r="AT77" t="str">
        <v>Chennai, India</v>
      </c>
      <c r="AU77">
        <v>6.3013698630136989</v>
      </c>
      <c r="AV77" t="str">
        <v>Full time</v>
      </c>
      <c r="AW77" t="str">
        <v>Monday</v>
      </c>
    </row>
    <row r="78" spans="5:49" x14ac:dyDescent="0.25">
      <c r="I78" s="57"/>
      <c r="U78" t="str">
        <v>VT01803</v>
      </c>
      <c r="V78" t="str">
        <v>Freddy</v>
      </c>
      <c r="W78" t="str">
        <v>Linford</v>
      </c>
      <c r="X78" t="str">
        <v>Female</v>
      </c>
      <c r="Y78" t="str">
        <v>Training</v>
      </c>
      <c r="Z78">
        <v>93128.34</v>
      </c>
      <c r="AA78" t="str">
        <v>50k to 100k</v>
      </c>
      <c r="AB78" s="57">
        <v>43164</v>
      </c>
      <c r="AC78">
        <v>1</v>
      </c>
      <c r="AD78" t="str">
        <v>Fixed Term</v>
      </c>
      <c r="AE78" t="str">
        <v>Seattle, USA</v>
      </c>
      <c r="AF78">
        <v>6.3013698630136989</v>
      </c>
      <c r="AG78" t="str">
        <v>Full time</v>
      </c>
      <c r="AJ78" t="str">
        <v>SQ04613</v>
      </c>
      <c r="AK78" t="str">
        <v>Sarojini</v>
      </c>
      <c r="AL78" t="str">
        <v>Naueshwara</v>
      </c>
      <c r="AM78" t="str">
        <v>Female</v>
      </c>
      <c r="AN78" t="str">
        <v>Human Resources</v>
      </c>
      <c r="AO78">
        <v>85264.38</v>
      </c>
      <c r="AP78" t="str">
        <v>50k to 100k</v>
      </c>
      <c r="AQ78" s="39">
        <v>43220</v>
      </c>
      <c r="AR78">
        <v>1</v>
      </c>
      <c r="AS78" t="str">
        <v>Permanent</v>
      </c>
      <c r="AT78" t="str">
        <v>Chennai, India</v>
      </c>
      <c r="AU78">
        <v>6.1479452054794521</v>
      </c>
      <c r="AV78" t="str">
        <v>Full time</v>
      </c>
      <c r="AW78" t="str">
        <v>Monday</v>
      </c>
    </row>
    <row r="79" spans="5:49" x14ac:dyDescent="0.25">
      <c r="I79" s="57"/>
      <c r="U79" t="str">
        <v>TN02988</v>
      </c>
      <c r="V79" t="str">
        <v>Mahindra</v>
      </c>
      <c r="W79" t="str">
        <v>Sreedharan</v>
      </c>
      <c r="X79" t="str">
        <v>Male</v>
      </c>
      <c r="Y79" t="str">
        <v>Engineering</v>
      </c>
      <c r="Z79">
        <v>92943.89</v>
      </c>
      <c r="AA79" t="str">
        <v>50k to 100k</v>
      </c>
      <c r="AB79" s="57">
        <v>44510</v>
      </c>
      <c r="AC79">
        <v>1</v>
      </c>
      <c r="AD79" t="str">
        <v>Permanent</v>
      </c>
      <c r="AE79" t="str">
        <v>Hyderabad, India</v>
      </c>
      <c r="AF79">
        <v>2.6136986301369864</v>
      </c>
      <c r="AG79" t="str">
        <v>Full time</v>
      </c>
      <c r="AJ79" t="str">
        <v>TN02883</v>
      </c>
      <c r="AK79" t="str">
        <v>John</v>
      </c>
      <c r="AL79" t="str">
        <v>Joseph</v>
      </c>
      <c r="AM79" t="str">
        <v>Female</v>
      </c>
      <c r="AN79" t="str">
        <v>Sales</v>
      </c>
      <c r="AO79">
        <v>84762.76</v>
      </c>
      <c r="AP79" t="str">
        <v>50k to 100k</v>
      </c>
      <c r="AQ79" s="39">
        <v>43332</v>
      </c>
      <c r="AR79">
        <v>1</v>
      </c>
      <c r="AS79" t="str">
        <v>Permanent</v>
      </c>
      <c r="AT79" t="str">
        <v>Hyderabad, India</v>
      </c>
      <c r="AU79">
        <v>5.8410958904109593</v>
      </c>
      <c r="AV79" t="str">
        <v>Full time</v>
      </c>
      <c r="AW79" t="str">
        <v>Monday</v>
      </c>
    </row>
    <row r="80" spans="5:49" x14ac:dyDescent="0.25">
      <c r="I80" s="57"/>
      <c r="U80" t="str">
        <v>TN04175</v>
      </c>
      <c r="V80" t="str">
        <v>Hinda</v>
      </c>
      <c r="W80" t="str">
        <v>Label</v>
      </c>
      <c r="X80" t="str">
        <v>Female</v>
      </c>
      <c r="Y80" t="str">
        <v>Human Resources</v>
      </c>
      <c r="Z80">
        <v>92704.48</v>
      </c>
      <c r="AA80" t="str">
        <v>50k to 100k</v>
      </c>
      <c r="AB80" s="57">
        <v>43430</v>
      </c>
      <c r="AC80">
        <v>1</v>
      </c>
      <c r="AD80" t="str">
        <v>Fixed Term</v>
      </c>
      <c r="AE80" t="str">
        <v>Columbus, USA</v>
      </c>
      <c r="AF80">
        <v>5.5726027397260278</v>
      </c>
      <c r="AG80" t="str">
        <v>Full time</v>
      </c>
      <c r="AJ80" t="str">
        <v>VT00596</v>
      </c>
      <c r="AK80" t="str">
        <v>Letisha</v>
      </c>
      <c r="AL80" t="str">
        <v>Carrett</v>
      </c>
      <c r="AM80" t="str">
        <v>Female</v>
      </c>
      <c r="AN80" t="str">
        <v>Sales</v>
      </c>
      <c r="AO80">
        <v>84598.88</v>
      </c>
      <c r="AP80" t="str">
        <v>50k to 100k</v>
      </c>
      <c r="AQ80" s="39">
        <v>44116</v>
      </c>
      <c r="AR80">
        <v>1</v>
      </c>
      <c r="AS80" t="str">
        <v>Fixed Term</v>
      </c>
      <c r="AT80" t="str">
        <v>Seattle, USA</v>
      </c>
      <c r="AU80">
        <v>3.6931506849315068</v>
      </c>
      <c r="AV80" t="str">
        <v>Full time</v>
      </c>
      <c r="AW80" t="str">
        <v>Monday</v>
      </c>
    </row>
    <row r="81" spans="9:49" x14ac:dyDescent="0.25">
      <c r="I81" s="57"/>
      <c r="U81" t="str">
        <v>PR04446</v>
      </c>
      <c r="V81" t="str">
        <v>Sameer</v>
      </c>
      <c r="W81" t="str">
        <v>Shashank</v>
      </c>
      <c r="X81" t="str">
        <v>Female</v>
      </c>
      <c r="Y81" t="str">
        <v>Research and Development</v>
      </c>
      <c r="Z81">
        <v>92336.08</v>
      </c>
      <c r="AA81" t="str">
        <v>50k to 100k</v>
      </c>
      <c r="AB81" s="57">
        <v>44431</v>
      </c>
      <c r="AC81">
        <v>1</v>
      </c>
      <c r="AD81" t="str">
        <v>Permanent</v>
      </c>
      <c r="AE81" t="str">
        <v>Hyderabad, India</v>
      </c>
      <c r="AF81">
        <v>2.8301369863013699</v>
      </c>
      <c r="AG81" t="str">
        <v>Full time</v>
      </c>
      <c r="AJ81" t="str">
        <v>VT00596</v>
      </c>
      <c r="AK81" t="str">
        <v>Letisha</v>
      </c>
      <c r="AL81" t="str">
        <v>Carrett</v>
      </c>
      <c r="AM81" t="str">
        <v>Female</v>
      </c>
      <c r="AN81" t="str">
        <v>Sales</v>
      </c>
      <c r="AO81">
        <v>84598.88</v>
      </c>
      <c r="AP81" t="str">
        <v>50k to 100k</v>
      </c>
      <c r="AQ81" s="39">
        <v>44116</v>
      </c>
      <c r="AR81">
        <v>1</v>
      </c>
      <c r="AS81" t="str">
        <v>Fixed Term</v>
      </c>
      <c r="AT81" t="str">
        <v>Seattle, USA</v>
      </c>
      <c r="AU81">
        <v>3.6931506849315068</v>
      </c>
      <c r="AV81" t="str">
        <v>Full time</v>
      </c>
      <c r="AW81" t="str">
        <v>Monday</v>
      </c>
    </row>
    <row r="82" spans="9:49" x14ac:dyDescent="0.25">
      <c r="I82" s="57"/>
      <c r="U82" t="str">
        <v>TN04166</v>
      </c>
      <c r="V82" t="str">
        <v>Tadio</v>
      </c>
      <c r="W82" t="str">
        <v>Dowdle</v>
      </c>
      <c r="X82" t="str">
        <v>Female</v>
      </c>
      <c r="Y82" t="str">
        <v>Product Management</v>
      </c>
      <c r="Z82">
        <v>91929.69</v>
      </c>
      <c r="AA82" t="str">
        <v>50k to 100k</v>
      </c>
      <c r="AB82" s="57">
        <v>44085</v>
      </c>
      <c r="AC82">
        <v>1</v>
      </c>
      <c r="AD82" t="str">
        <v>Fixed Term</v>
      </c>
      <c r="AE82" t="str">
        <v>Remote</v>
      </c>
      <c r="AF82">
        <v>3.7780821917808218</v>
      </c>
      <c r="AG82" t="str">
        <v>Full time</v>
      </c>
      <c r="AJ82" t="str">
        <v>PR00916</v>
      </c>
      <c r="AK82" t="str">
        <v>Inger</v>
      </c>
      <c r="AL82" t="str">
        <v>Chapelhow</v>
      </c>
      <c r="AM82" t="str">
        <v>Female</v>
      </c>
      <c r="AN82" t="str">
        <v>Research and Development</v>
      </c>
      <c r="AO82">
        <v>84309.95</v>
      </c>
      <c r="AP82" t="str">
        <v>50k to 100k</v>
      </c>
      <c r="AQ82" s="39">
        <v>44501</v>
      </c>
      <c r="AR82">
        <v>1</v>
      </c>
      <c r="AS82" t="str">
        <v>Permanent</v>
      </c>
      <c r="AT82" t="str">
        <v>Remote</v>
      </c>
      <c r="AU82">
        <v>2.6383561643835618</v>
      </c>
      <c r="AV82" t="str">
        <v>Full time</v>
      </c>
      <c r="AW82" t="str">
        <v>Monday</v>
      </c>
    </row>
    <row r="83" spans="9:49" x14ac:dyDescent="0.25">
      <c r="I83" s="57"/>
      <c r="U83" t="str">
        <v>PR01211</v>
      </c>
      <c r="V83" t="str">
        <v>Enoch</v>
      </c>
      <c r="W83" t="str">
        <v>Dowrey</v>
      </c>
      <c r="X83" t="str">
        <v>Male</v>
      </c>
      <c r="Y83" t="str">
        <v>Accounting</v>
      </c>
      <c r="Z83">
        <v>91645.04</v>
      </c>
      <c r="AA83" t="str">
        <v>50k to 100k</v>
      </c>
      <c r="AB83" s="57">
        <v>44223</v>
      </c>
      <c r="AC83">
        <v>1</v>
      </c>
      <c r="AD83" t="str">
        <v>Permanent</v>
      </c>
      <c r="AE83" t="str">
        <v>Auckland, New Zealand</v>
      </c>
      <c r="AF83">
        <v>3.4</v>
      </c>
      <c r="AG83" t="str">
        <v>Full time</v>
      </c>
      <c r="AJ83" t="str">
        <v>PR00113</v>
      </c>
      <c r="AK83" t="str">
        <v>Van</v>
      </c>
      <c r="AL83" t="str">
        <v>Tuxwell</v>
      </c>
      <c r="AM83" t="str">
        <v>Female</v>
      </c>
      <c r="AN83" t="str">
        <v>Business Growth</v>
      </c>
      <c r="AO83">
        <v>80695.740000000005</v>
      </c>
      <c r="AP83" t="str">
        <v>50k to 100k</v>
      </c>
      <c r="AQ83" s="39">
        <v>43360</v>
      </c>
      <c r="AR83">
        <v>1</v>
      </c>
      <c r="AS83" t="str">
        <v>Permanent</v>
      </c>
      <c r="AT83" t="str">
        <v>Columbus, USA</v>
      </c>
      <c r="AU83">
        <v>5.7643835616438359</v>
      </c>
      <c r="AV83" t="str">
        <v>Full time</v>
      </c>
      <c r="AW83" t="str">
        <v>Monday</v>
      </c>
    </row>
    <row r="84" spans="9:49" x14ac:dyDescent="0.25">
      <c r="I84" s="57"/>
      <c r="U84" t="str">
        <v>VT00534</v>
      </c>
      <c r="V84" t="str">
        <v>Roselle</v>
      </c>
      <c r="W84" t="str">
        <v>Wandrach</v>
      </c>
      <c r="X84" t="str">
        <v>Male</v>
      </c>
      <c r="Y84" t="str">
        <v>Sales</v>
      </c>
      <c r="Z84">
        <v>91314.75</v>
      </c>
      <c r="AA84" t="str">
        <v>50k to 100k</v>
      </c>
      <c r="AB84" s="57">
        <v>43931</v>
      </c>
      <c r="AC84">
        <v>1</v>
      </c>
      <c r="AD84" t="str">
        <v>Fixed Term</v>
      </c>
      <c r="AE84" t="str">
        <v>Seattle, USA</v>
      </c>
      <c r="AF84">
        <v>4.2</v>
      </c>
      <c r="AG84" t="str">
        <v>Full time</v>
      </c>
      <c r="AJ84" t="str">
        <v>PR00113</v>
      </c>
      <c r="AK84" t="str">
        <v>Van</v>
      </c>
      <c r="AL84" t="str">
        <v>Tuxwell</v>
      </c>
      <c r="AM84" t="str">
        <v>Female</v>
      </c>
      <c r="AN84" t="str">
        <v>Business Development</v>
      </c>
      <c r="AO84">
        <v>80695.740000000005</v>
      </c>
      <c r="AP84" t="str">
        <v>50k to 100k</v>
      </c>
      <c r="AQ84" s="39">
        <v>43360</v>
      </c>
      <c r="AR84">
        <v>1</v>
      </c>
      <c r="AS84" t="str">
        <v>Permanent</v>
      </c>
      <c r="AT84" t="str">
        <v>Columbus, USA</v>
      </c>
      <c r="AU84">
        <v>5.7643835616438359</v>
      </c>
      <c r="AV84" t="str">
        <v>Full time</v>
      </c>
      <c r="AW84" t="str">
        <v>Monday</v>
      </c>
    </row>
    <row r="85" spans="9:49" x14ac:dyDescent="0.25">
      <c r="I85" s="57"/>
      <c r="U85" t="str">
        <v>SQ02559</v>
      </c>
      <c r="V85" t="str">
        <v>Aldrich</v>
      </c>
      <c r="W85" t="str">
        <v>Glenny</v>
      </c>
      <c r="X85" t="str">
        <v>Male</v>
      </c>
      <c r="Y85" t="str">
        <v>Business Development</v>
      </c>
      <c r="Z85">
        <v>90884.32</v>
      </c>
      <c r="AA85" t="str">
        <v>50k to 100k</v>
      </c>
      <c r="AB85" s="57">
        <v>43826</v>
      </c>
      <c r="AC85">
        <v>1</v>
      </c>
      <c r="AD85" t="str">
        <v>Permanent</v>
      </c>
      <c r="AE85" t="str">
        <v>Columbus, USA</v>
      </c>
      <c r="AF85">
        <v>4.4876712328767123</v>
      </c>
      <c r="AG85" t="str">
        <v>Full time</v>
      </c>
      <c r="AJ85" t="str">
        <v>PR04380</v>
      </c>
      <c r="AK85" t="str">
        <v>Van</v>
      </c>
      <c r="AL85" t="str">
        <v>Tuxwell</v>
      </c>
      <c r="AM85" t="str">
        <v>Female</v>
      </c>
      <c r="AN85" t="str">
        <v>Business Development</v>
      </c>
      <c r="AO85">
        <v>80695.740000000005</v>
      </c>
      <c r="AP85" t="str">
        <v>50k to 100k</v>
      </c>
      <c r="AQ85" s="39">
        <v>43787</v>
      </c>
      <c r="AR85">
        <v>0.8</v>
      </c>
      <c r="AS85" t="str">
        <v>Permanent</v>
      </c>
      <c r="AT85" t="str">
        <v>Columbus, USA</v>
      </c>
      <c r="AU85">
        <v>4.5945205479452058</v>
      </c>
      <c r="AV85" t="str">
        <v>Part time</v>
      </c>
      <c r="AW85" t="str">
        <v>Monday</v>
      </c>
    </row>
    <row r="86" spans="9:49" x14ac:dyDescent="0.25">
      <c r="I86" s="57"/>
      <c r="U86" t="str">
        <v>SQ02559</v>
      </c>
      <c r="V86" t="str">
        <v>Aldrich</v>
      </c>
      <c r="W86" t="str">
        <v>Glenny</v>
      </c>
      <c r="X86" t="str">
        <v>Male</v>
      </c>
      <c r="Y86" t="str">
        <v>Business Development</v>
      </c>
      <c r="Z86">
        <v>90884.32</v>
      </c>
      <c r="AA86" t="str">
        <v>50k to 100k</v>
      </c>
      <c r="AB86" s="57">
        <v>43826</v>
      </c>
      <c r="AC86">
        <v>1</v>
      </c>
      <c r="AD86" t="str">
        <v>Permanent</v>
      </c>
      <c r="AE86" t="str">
        <v>Columbus, USA</v>
      </c>
      <c r="AF86">
        <v>4.4876712328767123</v>
      </c>
      <c r="AG86" t="str">
        <v>Full time</v>
      </c>
      <c r="AJ86" t="str">
        <v>PR02436</v>
      </c>
      <c r="AK86" t="str">
        <v>Marmaduke</v>
      </c>
      <c r="AL86" t="str">
        <v>Worssam</v>
      </c>
      <c r="AM86" t="str">
        <v>Female</v>
      </c>
      <c r="AN86" t="str">
        <v>Engineering</v>
      </c>
      <c r="AO86">
        <v>78378.2</v>
      </c>
      <c r="AP86" t="str">
        <v>50k to 100k</v>
      </c>
      <c r="AQ86" s="39">
        <v>43465</v>
      </c>
      <c r="AR86">
        <v>0.4</v>
      </c>
      <c r="AS86" t="str">
        <v>Permanent</v>
      </c>
      <c r="AT86" t="str">
        <v>Remote</v>
      </c>
      <c r="AU86">
        <v>5.4767123287671229</v>
      </c>
      <c r="AV86" t="str">
        <v>Part time</v>
      </c>
      <c r="AW86" t="str">
        <v>Monday</v>
      </c>
    </row>
    <row r="87" spans="9:49" x14ac:dyDescent="0.25">
      <c r="I87" s="57"/>
      <c r="U87" t="str">
        <v>TN02204</v>
      </c>
      <c r="V87" t="str">
        <v>Aldrich</v>
      </c>
      <c r="W87" t="str">
        <v>Glenny</v>
      </c>
      <c r="X87" t="str">
        <v>Male</v>
      </c>
      <c r="Y87" t="str">
        <v>Business Development</v>
      </c>
      <c r="Z87">
        <v>90884.32</v>
      </c>
      <c r="AA87" t="str">
        <v>50k to 100k</v>
      </c>
      <c r="AB87" s="57">
        <v>44039</v>
      </c>
      <c r="AC87">
        <v>0.5</v>
      </c>
      <c r="AD87" t="str">
        <v>Permanent</v>
      </c>
      <c r="AE87" t="str">
        <v>Columbus, USA</v>
      </c>
      <c r="AF87">
        <v>3.904109589041096</v>
      </c>
      <c r="AG87" t="str">
        <v>Part time</v>
      </c>
      <c r="AJ87" t="str">
        <v>SQ03625</v>
      </c>
      <c r="AK87" t="str">
        <v>Fidela</v>
      </c>
      <c r="AL87" t="str">
        <v>Artis</v>
      </c>
      <c r="AM87" t="str">
        <v>Female</v>
      </c>
      <c r="AN87" t="str">
        <v>Sales</v>
      </c>
      <c r="AO87">
        <v>78020.39</v>
      </c>
      <c r="AP87" t="str">
        <v>50k to 100k</v>
      </c>
      <c r="AQ87" s="39">
        <v>43899</v>
      </c>
      <c r="AR87">
        <v>1</v>
      </c>
      <c r="AS87" t="str">
        <v>Permanent</v>
      </c>
      <c r="AT87" t="str">
        <v>Remote</v>
      </c>
      <c r="AU87">
        <v>4.2876712328767121</v>
      </c>
      <c r="AV87" t="str">
        <v>Full time</v>
      </c>
      <c r="AW87" t="str">
        <v>Monday</v>
      </c>
    </row>
    <row r="88" spans="9:49" x14ac:dyDescent="0.25">
      <c r="I88" s="57"/>
      <c r="U88" t="str">
        <v>SQ01395</v>
      </c>
      <c r="V88" t="str">
        <v>Dennison</v>
      </c>
      <c r="W88" t="str">
        <v>Crosswaite</v>
      </c>
      <c r="X88" t="str">
        <v>Male</v>
      </c>
      <c r="Y88" t="str">
        <v>Legal</v>
      </c>
      <c r="Z88">
        <v>90697.67</v>
      </c>
      <c r="AA88" t="str">
        <v>50k to 100k</v>
      </c>
      <c r="AB88" s="57">
        <v>44221</v>
      </c>
      <c r="AC88">
        <v>0.8</v>
      </c>
      <c r="AD88" t="str">
        <v>Permanent</v>
      </c>
      <c r="AE88" t="str">
        <v>Seattle, USA</v>
      </c>
      <c r="AF88">
        <v>3.4054794520547946</v>
      </c>
      <c r="AG88" t="str">
        <v>Part time</v>
      </c>
      <c r="AJ88" t="str">
        <v>VT01610</v>
      </c>
      <c r="AK88" t="str">
        <v>Dhruv</v>
      </c>
      <c r="AL88" t="str">
        <v>Manjunath</v>
      </c>
      <c r="AM88" t="str">
        <v>Female</v>
      </c>
      <c r="AN88" t="str">
        <v>Accounting</v>
      </c>
      <c r="AO88">
        <v>76303.820000000007</v>
      </c>
      <c r="AP88" t="str">
        <v>50k to 100k</v>
      </c>
      <c r="AQ88" s="39">
        <v>43458</v>
      </c>
      <c r="AR88">
        <v>1</v>
      </c>
      <c r="AS88" t="str">
        <v>Fixed Term</v>
      </c>
      <c r="AT88" t="str">
        <v>Hyderabad, India</v>
      </c>
      <c r="AU88">
        <v>5.4958904109589044</v>
      </c>
      <c r="AV88" t="str">
        <v>Full time</v>
      </c>
      <c r="AW88" t="str">
        <v>Monday</v>
      </c>
    </row>
    <row r="89" spans="9:49" x14ac:dyDescent="0.25">
      <c r="I89" s="57"/>
      <c r="U89" t="str">
        <v>VT00476</v>
      </c>
      <c r="V89" t="str">
        <v>Adolph</v>
      </c>
      <c r="W89" t="str">
        <v>Hartin</v>
      </c>
      <c r="X89" t="str">
        <v>Male</v>
      </c>
      <c r="Y89" t="str">
        <v>Product Management</v>
      </c>
      <c r="Z89">
        <v>89960.6</v>
      </c>
      <c r="AA89" t="str">
        <v>50k to 100k</v>
      </c>
      <c r="AB89" s="57">
        <v>43515</v>
      </c>
      <c r="AC89">
        <v>1</v>
      </c>
      <c r="AD89" t="str">
        <v>Fixed Term</v>
      </c>
      <c r="AE89" t="str">
        <v>Auckland, New Zealand</v>
      </c>
      <c r="AF89">
        <v>5.3397260273972602</v>
      </c>
      <c r="AG89" t="str">
        <v>Full time</v>
      </c>
      <c r="AJ89" t="str">
        <v>VT01610</v>
      </c>
      <c r="AK89" t="str">
        <v>Kunja</v>
      </c>
      <c r="AL89" t="str">
        <v>Prashanta</v>
      </c>
      <c r="AM89" t="str">
        <v>Female</v>
      </c>
      <c r="AN89" t="str">
        <v>Accounting</v>
      </c>
      <c r="AO89">
        <v>76303.820000000007</v>
      </c>
      <c r="AP89" t="str">
        <v>50k to 100k</v>
      </c>
      <c r="AQ89" s="39">
        <v>43458</v>
      </c>
      <c r="AR89">
        <v>1</v>
      </c>
      <c r="AS89" t="str">
        <v>Fixed Term</v>
      </c>
      <c r="AT89" t="str">
        <v>Hyderabad, India</v>
      </c>
      <c r="AU89">
        <v>5.4958904109589044</v>
      </c>
      <c r="AV89" t="str">
        <v>Full time</v>
      </c>
      <c r="AW89" t="str">
        <v>Monday</v>
      </c>
    </row>
    <row r="90" spans="9:49" x14ac:dyDescent="0.25">
      <c r="I90" s="57"/>
      <c r="U90" t="str">
        <v>TN01210</v>
      </c>
      <c r="V90" t="str">
        <v>Alyosha</v>
      </c>
      <c r="W90" t="str">
        <v>Riquet</v>
      </c>
      <c r="X90" t="str">
        <v>Male</v>
      </c>
      <c r="Y90" t="str">
        <v>Legal</v>
      </c>
      <c r="Z90">
        <v>89838.77</v>
      </c>
      <c r="AA90" t="str">
        <v>50k to 100k</v>
      </c>
      <c r="AB90" s="57">
        <v>43602</v>
      </c>
      <c r="AC90">
        <v>1</v>
      </c>
      <c r="AD90" t="str">
        <v>Permanent</v>
      </c>
      <c r="AE90" t="str">
        <v>Remote</v>
      </c>
      <c r="AF90">
        <v>5.1013698630136988</v>
      </c>
      <c r="AG90" t="str">
        <v>Full time</v>
      </c>
      <c r="AJ90" t="str">
        <v>PR02113</v>
      </c>
      <c r="AK90" t="str">
        <v>Beverie</v>
      </c>
      <c r="AL90" t="str">
        <v>Moffet</v>
      </c>
      <c r="AM90" t="str">
        <v>Female</v>
      </c>
      <c r="AN90" t="str">
        <v>Support</v>
      </c>
      <c r="AO90">
        <v>75974.990000000005</v>
      </c>
      <c r="AP90" t="str">
        <v>50k to 100k</v>
      </c>
      <c r="AQ90" s="39">
        <v>44172</v>
      </c>
      <c r="AR90">
        <v>1</v>
      </c>
      <c r="AS90" t="str">
        <v>Permanent</v>
      </c>
      <c r="AT90" t="str">
        <v>Remote</v>
      </c>
      <c r="AU90">
        <v>3.5397260273972604</v>
      </c>
      <c r="AV90" t="str">
        <v>Full time</v>
      </c>
      <c r="AW90" t="str">
        <v>Monday</v>
      </c>
    </row>
    <row r="91" spans="9:49" x14ac:dyDescent="0.25">
      <c r="I91" s="57"/>
      <c r="U91" t="str">
        <v>VT03701</v>
      </c>
      <c r="V91" t="str">
        <v>Narois</v>
      </c>
      <c r="W91" t="str">
        <v>Motiwala</v>
      </c>
      <c r="X91" t="str">
        <v>Female</v>
      </c>
      <c r="Y91" t="str">
        <v>Product Management</v>
      </c>
      <c r="Z91">
        <v>89829.33</v>
      </c>
      <c r="AA91" t="str">
        <v>50k to 100k</v>
      </c>
      <c r="AB91" s="57">
        <v>43794</v>
      </c>
      <c r="AC91">
        <v>1</v>
      </c>
      <c r="AD91" t="str">
        <v>Temporary</v>
      </c>
      <c r="AE91" t="str">
        <v>Chennai, India</v>
      </c>
      <c r="AF91">
        <v>4.5753424657534243</v>
      </c>
      <c r="AG91" t="str">
        <v>Full time</v>
      </c>
      <c r="AJ91" t="str">
        <v>SQ03546</v>
      </c>
      <c r="AK91" t="str">
        <v>Amlankusum</v>
      </c>
      <c r="AL91" t="str">
        <v>Rajabhushan</v>
      </c>
      <c r="AM91" t="str">
        <v>Female</v>
      </c>
      <c r="AN91" t="str">
        <v>Legal</v>
      </c>
      <c r="AO91">
        <v>75733.740000000005</v>
      </c>
      <c r="AP91" t="str">
        <v>50k to 100k</v>
      </c>
      <c r="AQ91" s="39">
        <v>44382</v>
      </c>
      <c r="AR91">
        <v>1</v>
      </c>
      <c r="AS91" t="str">
        <v>Permanent</v>
      </c>
      <c r="AT91" t="str">
        <v>Hyderabad, India</v>
      </c>
      <c r="AU91">
        <v>2.9643835616438357</v>
      </c>
      <c r="AV91" t="str">
        <v>Full time</v>
      </c>
      <c r="AW91" t="str">
        <v>Monday</v>
      </c>
    </row>
    <row r="92" spans="9:49" x14ac:dyDescent="0.25">
      <c r="I92" s="57"/>
      <c r="U92" t="str">
        <v>PR03158</v>
      </c>
      <c r="V92" t="str">
        <v>Danica</v>
      </c>
      <c r="W92" t="str">
        <v>Nayshe</v>
      </c>
      <c r="X92" t="str">
        <v>Female</v>
      </c>
      <c r="Y92" t="str">
        <v>Services</v>
      </c>
      <c r="Z92">
        <v>89690.38</v>
      </c>
      <c r="AA92" t="str">
        <v>50k to 100k</v>
      </c>
      <c r="AB92" s="57">
        <v>43206</v>
      </c>
      <c r="AC92">
        <v>1</v>
      </c>
      <c r="AD92" t="str">
        <v>Permanent</v>
      </c>
      <c r="AE92" t="str">
        <v>Wellington, New Zealand</v>
      </c>
      <c r="AF92">
        <v>6.1863013698630134</v>
      </c>
      <c r="AG92" t="str">
        <v>Full time</v>
      </c>
      <c r="AJ92" t="str">
        <v>TN00182</v>
      </c>
      <c r="AK92" t="str">
        <v>Camilla</v>
      </c>
      <c r="AL92" t="str">
        <v>Castle</v>
      </c>
      <c r="AM92" t="str">
        <v>Female</v>
      </c>
      <c r="AN92" t="str">
        <v>Product Management</v>
      </c>
      <c r="AO92">
        <v>75475.929999999993</v>
      </c>
      <c r="AP92" t="str">
        <v>50k to 100k</v>
      </c>
      <c r="AQ92" s="39">
        <v>43794</v>
      </c>
      <c r="AR92">
        <v>1</v>
      </c>
      <c r="AS92" t="str">
        <v>Permanent</v>
      </c>
      <c r="AT92" t="str">
        <v>Remote</v>
      </c>
      <c r="AU92">
        <v>4.5753424657534243</v>
      </c>
      <c r="AV92" t="str">
        <v>Full time</v>
      </c>
      <c r="AW92" t="str">
        <v>Monday</v>
      </c>
    </row>
    <row r="93" spans="9:49" x14ac:dyDescent="0.25">
      <c r="I93" s="57"/>
      <c r="U93" t="str">
        <v>SQ00841</v>
      </c>
      <c r="V93" t="str">
        <v>Bhuvan</v>
      </c>
      <c r="W93" t="str">
        <v>Pals</v>
      </c>
      <c r="X93" t="str">
        <v>Female</v>
      </c>
      <c r="Y93" t="str">
        <v>Services</v>
      </c>
      <c r="Z93">
        <v>89690.38</v>
      </c>
      <c r="AA93" t="str">
        <v>50k to 100k</v>
      </c>
      <c r="AB93" s="57">
        <v>43213</v>
      </c>
      <c r="AC93">
        <v>1</v>
      </c>
      <c r="AD93" t="str">
        <v>Permanent</v>
      </c>
      <c r="AE93" t="str">
        <v>Hyderabad, India</v>
      </c>
      <c r="AF93">
        <v>6.1671232876712327</v>
      </c>
      <c r="AG93" t="str">
        <v>Full time</v>
      </c>
      <c r="AJ93" t="str">
        <v>TN04067</v>
      </c>
      <c r="AK93" t="str">
        <v>Lea</v>
      </c>
      <c r="AL93" t="str">
        <v>Chaplin</v>
      </c>
      <c r="AM93" t="str">
        <v>Female</v>
      </c>
      <c r="AN93" t="str">
        <v>Human Resources</v>
      </c>
      <c r="AO93">
        <v>73488.679999999993</v>
      </c>
      <c r="AP93" t="str">
        <v>50k to 100k</v>
      </c>
      <c r="AQ93" s="39">
        <v>43570</v>
      </c>
      <c r="AR93">
        <v>1</v>
      </c>
      <c r="AS93" t="str">
        <v>Fixed Term</v>
      </c>
      <c r="AT93" t="str">
        <v>Seattle, USA</v>
      </c>
      <c r="AU93">
        <v>5.1890410958904107</v>
      </c>
      <c r="AV93" t="str">
        <v>Full time</v>
      </c>
      <c r="AW93" t="str">
        <v>Monday</v>
      </c>
    </row>
    <row r="94" spans="9:49" x14ac:dyDescent="0.25">
      <c r="I94" s="57"/>
      <c r="U94" t="str">
        <v>SQ02638</v>
      </c>
      <c r="V94" t="str">
        <v>Cara</v>
      </c>
      <c r="W94" t="str">
        <v>Havers</v>
      </c>
      <c r="X94" t="str">
        <v>Male</v>
      </c>
      <c r="Y94" t="str">
        <v>Marketing</v>
      </c>
      <c r="Z94">
        <v>89605.13</v>
      </c>
      <c r="AA94" t="str">
        <v>50k to 100k</v>
      </c>
      <c r="AB94" s="57">
        <v>43258</v>
      </c>
      <c r="AC94">
        <v>1</v>
      </c>
      <c r="AD94" t="str">
        <v>Permanent</v>
      </c>
      <c r="AE94" t="str">
        <v>Seattle, USA</v>
      </c>
      <c r="AF94">
        <v>6.043835616438356</v>
      </c>
      <c r="AG94" t="str">
        <v>Full time</v>
      </c>
      <c r="AJ94" t="str">
        <v>PR01383</v>
      </c>
      <c r="AK94" t="str">
        <v>Addi</v>
      </c>
      <c r="AL94" t="str">
        <v>Studdeard</v>
      </c>
      <c r="AM94" t="str">
        <v>Female</v>
      </c>
      <c r="AN94" t="str">
        <v>Product Management</v>
      </c>
      <c r="AO94">
        <v>72502.61</v>
      </c>
      <c r="AP94" t="str">
        <v>50k to 100k</v>
      </c>
      <c r="AQ94" s="39">
        <v>44235</v>
      </c>
      <c r="AR94">
        <v>1</v>
      </c>
      <c r="AS94" t="str">
        <v>Permanent</v>
      </c>
      <c r="AT94" t="str">
        <v>Wellington, New Zealand</v>
      </c>
      <c r="AU94">
        <v>3.3671232876712329</v>
      </c>
      <c r="AV94" t="str">
        <v>Full time</v>
      </c>
      <c r="AW94" t="str">
        <v>Monday</v>
      </c>
    </row>
    <row r="95" spans="9:49" x14ac:dyDescent="0.25">
      <c r="I95" s="57"/>
      <c r="U95" t="str">
        <v>TN01912</v>
      </c>
      <c r="V95" t="str">
        <v>Fred</v>
      </c>
      <c r="W95" t="str">
        <v>Dudeney</v>
      </c>
      <c r="X95" t="str">
        <v>Male</v>
      </c>
      <c r="Y95" t="str">
        <v>Services</v>
      </c>
      <c r="Z95">
        <v>88689.09</v>
      </c>
      <c r="AA95" t="str">
        <v>50k to 100k</v>
      </c>
      <c r="AB95" s="57">
        <v>43740</v>
      </c>
      <c r="AC95">
        <v>1</v>
      </c>
      <c r="AD95" t="str">
        <v>Permanent</v>
      </c>
      <c r="AE95" t="str">
        <v>Seattle, USA</v>
      </c>
      <c r="AF95">
        <v>4.7232876712328764</v>
      </c>
      <c r="AG95" t="str">
        <v>Full time</v>
      </c>
      <c r="AJ95" t="str">
        <v>SQ04960</v>
      </c>
      <c r="AK95" t="str">
        <v>Shubhra</v>
      </c>
      <c r="AL95" t="str">
        <v>Potla</v>
      </c>
      <c r="AM95" t="str">
        <v>Female</v>
      </c>
      <c r="AN95" t="str">
        <v>Support</v>
      </c>
      <c r="AO95">
        <v>71924.850000000006</v>
      </c>
      <c r="AP95" t="str">
        <v>50k to 100k</v>
      </c>
      <c r="AQ95" s="39">
        <v>43822</v>
      </c>
      <c r="AR95">
        <v>1</v>
      </c>
      <c r="AS95" t="str">
        <v>Permanent</v>
      </c>
      <c r="AT95" t="str">
        <v>Chennai, India</v>
      </c>
      <c r="AU95">
        <v>4.4986301369863018</v>
      </c>
      <c r="AV95" t="str">
        <v>Full time</v>
      </c>
      <c r="AW95" t="str">
        <v>Monday</v>
      </c>
    </row>
    <row r="96" spans="9:49" x14ac:dyDescent="0.25">
      <c r="I96" s="57"/>
      <c r="U96" t="str">
        <v>TN01632</v>
      </c>
      <c r="V96" t="str">
        <v>Katya</v>
      </c>
      <c r="W96" t="str">
        <v>Hundy</v>
      </c>
      <c r="X96" t="str">
        <v>Male</v>
      </c>
      <c r="Y96" t="str">
        <v>Business Development</v>
      </c>
      <c r="Z96">
        <v>88511.17</v>
      </c>
      <c r="AA96" t="str">
        <v>50k to 100k</v>
      </c>
      <c r="AB96" s="57">
        <v>43950</v>
      </c>
      <c r="AC96">
        <v>1</v>
      </c>
      <c r="AD96" t="str">
        <v>Permanent</v>
      </c>
      <c r="AE96" t="str">
        <v>Columbus, USA</v>
      </c>
      <c r="AF96">
        <v>4.1479452054794521</v>
      </c>
      <c r="AG96" t="str">
        <v>Full time</v>
      </c>
      <c r="AJ96" t="str">
        <v>VT02374</v>
      </c>
      <c r="AK96" t="str">
        <v>Delphine</v>
      </c>
      <c r="AL96" t="str">
        <v>Jewis</v>
      </c>
      <c r="AM96" t="str">
        <v>Female</v>
      </c>
      <c r="AN96" t="str">
        <v>Accounting</v>
      </c>
      <c r="AO96">
        <v>71823.56</v>
      </c>
      <c r="AP96" t="str">
        <v>50k to 100k</v>
      </c>
      <c r="AQ96" s="39">
        <v>43374</v>
      </c>
      <c r="AR96">
        <v>0.3</v>
      </c>
      <c r="AS96" t="str">
        <v>Temporary</v>
      </c>
      <c r="AT96" t="str">
        <v>Remote</v>
      </c>
      <c r="AU96">
        <v>5.7260273972602738</v>
      </c>
      <c r="AV96" t="str">
        <v>Part time</v>
      </c>
      <c r="AW96" t="str">
        <v>Monday</v>
      </c>
    </row>
    <row r="97" spans="9:49" x14ac:dyDescent="0.25">
      <c r="I97" s="57"/>
      <c r="U97" t="str">
        <v>SQ02643</v>
      </c>
      <c r="V97" t="str">
        <v>Indu</v>
      </c>
      <c r="W97" t="str">
        <v>Varada</v>
      </c>
      <c r="X97" t="str">
        <v>Female</v>
      </c>
      <c r="Y97" t="str">
        <v>Engineering</v>
      </c>
      <c r="Z97">
        <v>88425.08</v>
      </c>
      <c r="AA97" t="str">
        <v>50k to 100k</v>
      </c>
      <c r="AB97" s="57">
        <v>43662</v>
      </c>
      <c r="AC97">
        <v>1</v>
      </c>
      <c r="AD97" t="str">
        <v>Permanent</v>
      </c>
      <c r="AE97" t="str">
        <v>Hyderabad, India</v>
      </c>
      <c r="AF97">
        <v>4.9369863013698634</v>
      </c>
      <c r="AG97" t="str">
        <v>Full time</v>
      </c>
      <c r="AJ97" t="str">
        <v>VT02374</v>
      </c>
      <c r="AK97" t="str">
        <v>Delphine</v>
      </c>
      <c r="AL97" t="str">
        <v>Jewis</v>
      </c>
      <c r="AM97" t="str">
        <v>Female</v>
      </c>
      <c r="AN97" t="str">
        <v>Accounting</v>
      </c>
      <c r="AO97">
        <v>71823.56</v>
      </c>
      <c r="AP97" t="str">
        <v>50k to 100k</v>
      </c>
      <c r="AQ97" s="39">
        <v>43374</v>
      </c>
      <c r="AR97">
        <v>0.3</v>
      </c>
      <c r="AS97" t="str">
        <v>Temporary</v>
      </c>
      <c r="AT97" t="str">
        <v>Remote</v>
      </c>
      <c r="AU97">
        <v>5.7260273972602738</v>
      </c>
      <c r="AV97" t="str">
        <v>Part time</v>
      </c>
      <c r="AW97" t="str">
        <v>Monday</v>
      </c>
    </row>
    <row r="98" spans="9:49" x14ac:dyDescent="0.25">
      <c r="I98" s="57"/>
      <c r="U98" t="str">
        <v>TN00698</v>
      </c>
      <c r="V98" t="str">
        <v>Barbara-anne</v>
      </c>
      <c r="W98" t="str">
        <v>Kenchington</v>
      </c>
      <c r="X98" t="str">
        <v>Female</v>
      </c>
      <c r="Y98" t="str">
        <v>Support</v>
      </c>
      <c r="Z98">
        <v>88034.67</v>
      </c>
      <c r="AA98" t="str">
        <v>50k to 100k</v>
      </c>
      <c r="AB98" s="57">
        <v>43669</v>
      </c>
      <c r="AC98">
        <v>1</v>
      </c>
      <c r="AD98" t="str">
        <v>Permanent</v>
      </c>
      <c r="AE98" t="str">
        <v>Remote</v>
      </c>
      <c r="AF98">
        <v>4.9178082191780819</v>
      </c>
      <c r="AG98" t="str">
        <v>Full time</v>
      </c>
      <c r="AJ98" t="str">
        <v>TN00890</v>
      </c>
      <c r="AK98" t="str">
        <v>Mayur</v>
      </c>
      <c r="AL98" t="str">
        <v>Kousika</v>
      </c>
      <c r="AM98" t="str">
        <v>Female</v>
      </c>
      <c r="AN98" t="str">
        <v>Training</v>
      </c>
      <c r="AO98">
        <v>71570.990000000005</v>
      </c>
      <c r="AP98" t="str">
        <v>50k to 100k</v>
      </c>
      <c r="AQ98" s="39">
        <v>44249</v>
      </c>
      <c r="AR98">
        <v>0.5</v>
      </c>
      <c r="AS98" t="str">
        <v>Permanent</v>
      </c>
      <c r="AT98" t="str">
        <v>Hyderabad, India</v>
      </c>
      <c r="AU98">
        <v>3.3287671232876712</v>
      </c>
      <c r="AV98" t="str">
        <v>Part time</v>
      </c>
      <c r="AW98" t="str">
        <v>Monday</v>
      </c>
    </row>
    <row r="99" spans="9:49" x14ac:dyDescent="0.25">
      <c r="I99" s="57"/>
      <c r="U99" t="str">
        <v>VT01523</v>
      </c>
      <c r="V99" t="str">
        <v>Charmane</v>
      </c>
      <c r="W99" t="str">
        <v>Heistermann</v>
      </c>
      <c r="X99" t="str">
        <v>Female</v>
      </c>
      <c r="Y99" t="str">
        <v>Business Development</v>
      </c>
      <c r="Z99">
        <v>86558.58</v>
      </c>
      <c r="AA99" t="str">
        <v>50k to 100k</v>
      </c>
      <c r="AB99" s="57">
        <v>43887</v>
      </c>
      <c r="AC99">
        <v>1</v>
      </c>
      <c r="AD99" t="str">
        <v>Fixed Term</v>
      </c>
      <c r="AE99" t="str">
        <v>Remote</v>
      </c>
      <c r="AF99">
        <v>4.3205479452054796</v>
      </c>
      <c r="AG99" t="str">
        <v>Full time</v>
      </c>
      <c r="AJ99" t="str">
        <v>PR00095</v>
      </c>
      <c r="AK99" t="str">
        <v>Devrat</v>
      </c>
      <c r="AL99" t="str">
        <v>Damarsingh</v>
      </c>
      <c r="AM99" t="str">
        <v>Female</v>
      </c>
      <c r="AN99" t="str">
        <v>Business Development</v>
      </c>
      <c r="AO99">
        <v>70649.460000000006</v>
      </c>
      <c r="AP99" t="str">
        <v>50k to 100k</v>
      </c>
      <c r="AQ99" s="39">
        <v>43843</v>
      </c>
      <c r="AR99">
        <v>1</v>
      </c>
      <c r="AS99" t="str">
        <v>Permanent</v>
      </c>
      <c r="AT99" t="str">
        <v>Hyderabad, India</v>
      </c>
      <c r="AU99">
        <v>4.441095890410959</v>
      </c>
      <c r="AV99" t="str">
        <v>Full time</v>
      </c>
      <c r="AW99" t="str">
        <v>Monday</v>
      </c>
    </row>
    <row r="100" spans="9:49" x14ac:dyDescent="0.25">
      <c r="I100" s="57"/>
      <c r="U100" t="str">
        <v>SQ01177</v>
      </c>
      <c r="V100" t="str">
        <v>Nazeer</v>
      </c>
      <c r="W100" t="str">
        <v>Basha</v>
      </c>
      <c r="X100" t="str">
        <v>Male</v>
      </c>
      <c r="Y100" t="str">
        <v>Human Resources</v>
      </c>
      <c r="Z100">
        <v>86556.96</v>
      </c>
      <c r="AA100" t="str">
        <v>50k to 100k</v>
      </c>
      <c r="AB100" s="57">
        <v>44104</v>
      </c>
      <c r="AC100">
        <v>1</v>
      </c>
      <c r="AD100" t="str">
        <v>Permanent</v>
      </c>
      <c r="AE100" t="str">
        <v>Hyderabad, India</v>
      </c>
      <c r="AF100">
        <v>3.7260273972602738</v>
      </c>
      <c r="AG100" t="str">
        <v>Full time</v>
      </c>
      <c r="AJ100" t="str">
        <v>PR04473</v>
      </c>
      <c r="AK100" t="str">
        <v>Wyn</v>
      </c>
      <c r="AL100" t="str">
        <v>Treadger</v>
      </c>
      <c r="AM100" t="str">
        <v>Female</v>
      </c>
      <c r="AN100" t="str">
        <v>Business Development</v>
      </c>
      <c r="AO100">
        <v>69192.850000000006</v>
      </c>
      <c r="AP100" t="str">
        <v>50k to 100k</v>
      </c>
      <c r="AQ100" s="39">
        <v>44305</v>
      </c>
      <c r="AR100">
        <v>1</v>
      </c>
      <c r="AS100" t="str">
        <v>Permanent</v>
      </c>
      <c r="AT100" t="str">
        <v>Columbus, USA</v>
      </c>
      <c r="AU100">
        <v>3.1753424657534248</v>
      </c>
      <c r="AV100" t="str">
        <v>Full time</v>
      </c>
      <c r="AW100" t="str">
        <v>Monday</v>
      </c>
    </row>
    <row r="101" spans="9:49" x14ac:dyDescent="0.25">
      <c r="I101" s="57"/>
      <c r="U101" t="str">
        <v>VT01323</v>
      </c>
      <c r="V101" t="str">
        <v>Mardav</v>
      </c>
      <c r="W101" t="str">
        <v>Ramaswami</v>
      </c>
      <c r="X101" t="str">
        <v>Female</v>
      </c>
      <c r="Y101" t="str">
        <v>Business Development</v>
      </c>
      <c r="Z101">
        <v>86233.83</v>
      </c>
      <c r="AA101" t="str">
        <v>50k to 100k</v>
      </c>
      <c r="AB101" s="57">
        <v>43706</v>
      </c>
      <c r="AC101">
        <v>1</v>
      </c>
      <c r="AD101" t="str">
        <v>Fixed Term</v>
      </c>
      <c r="AE101" t="str">
        <v>Chennai, India</v>
      </c>
      <c r="AF101">
        <v>4.816438356164384</v>
      </c>
      <c r="AG101" t="str">
        <v>Full time</v>
      </c>
      <c r="AJ101" t="str">
        <v>SQ03321</v>
      </c>
      <c r="AK101" t="str">
        <v>Gradey</v>
      </c>
      <c r="AL101" t="str">
        <v>Litton</v>
      </c>
      <c r="AM101" t="str">
        <v>Female</v>
      </c>
      <c r="AN101" t="str">
        <v>Accounting</v>
      </c>
      <c r="AO101">
        <v>68887.839999999997</v>
      </c>
      <c r="AP101" t="str">
        <v>50k to 100k</v>
      </c>
      <c r="AQ101" s="39">
        <v>43297</v>
      </c>
      <c r="AR101">
        <v>1</v>
      </c>
      <c r="AS101" t="str">
        <v>Permanent</v>
      </c>
      <c r="AT101" t="str">
        <v>Remote</v>
      </c>
      <c r="AU101">
        <v>5.9369863013698634</v>
      </c>
      <c r="AV101" t="str">
        <v>Full time</v>
      </c>
      <c r="AW101" t="str">
        <v>Monday</v>
      </c>
    </row>
    <row r="102" spans="9:49" x14ac:dyDescent="0.25">
      <c r="I102" s="57"/>
      <c r="U102" t="str">
        <v>SQ00105</v>
      </c>
      <c r="V102" t="str">
        <v>Sarayu</v>
      </c>
      <c r="W102" t="str">
        <v>Ragunathan</v>
      </c>
      <c r="X102" t="str">
        <v>Female</v>
      </c>
      <c r="Y102" t="str">
        <v>Training</v>
      </c>
      <c r="Z102">
        <v>86010.54</v>
      </c>
      <c r="AA102" t="str">
        <v>50k to 100k</v>
      </c>
      <c r="AB102" s="57">
        <v>43164</v>
      </c>
      <c r="AC102">
        <v>1</v>
      </c>
      <c r="AD102" t="str">
        <v>Permanent</v>
      </c>
      <c r="AE102" t="str">
        <v>Chennai, India</v>
      </c>
      <c r="AF102">
        <v>6.3013698630136989</v>
      </c>
      <c r="AG102" t="str">
        <v>Full time</v>
      </c>
      <c r="AJ102" t="str">
        <v>TN01601</v>
      </c>
      <c r="AK102" t="str">
        <v>Melva</v>
      </c>
      <c r="AL102" t="str">
        <v>Jickells</v>
      </c>
      <c r="AM102" t="str">
        <v>Female</v>
      </c>
      <c r="AN102" t="str">
        <v>Product Management</v>
      </c>
      <c r="AO102">
        <v>68795.48</v>
      </c>
      <c r="AP102" t="str">
        <v>50k to 100k</v>
      </c>
      <c r="AQ102" s="39">
        <v>44277</v>
      </c>
      <c r="AR102">
        <v>0.2</v>
      </c>
      <c r="AS102" t="str">
        <v>Permanent</v>
      </c>
      <c r="AT102" t="str">
        <v>Remote</v>
      </c>
      <c r="AU102">
        <v>3.2520547945205478</v>
      </c>
      <c r="AV102" t="str">
        <v>Part time</v>
      </c>
      <c r="AW102" t="str">
        <v>Monday</v>
      </c>
    </row>
    <row r="103" spans="9:49" x14ac:dyDescent="0.25">
      <c r="I103" s="57"/>
      <c r="U103" t="str">
        <v>PR01346</v>
      </c>
      <c r="V103" t="str">
        <v>Adolph</v>
      </c>
      <c r="W103" t="str">
        <v>McNalley</v>
      </c>
      <c r="X103" t="str">
        <v>Male</v>
      </c>
      <c r="Y103" t="str">
        <v>Business Development</v>
      </c>
      <c r="Z103">
        <v>85918.61</v>
      </c>
      <c r="AA103" t="str">
        <v>50k to 100k</v>
      </c>
      <c r="AB103" s="57">
        <v>43136</v>
      </c>
      <c r="AC103">
        <v>1</v>
      </c>
      <c r="AD103" t="str">
        <v>Permanent</v>
      </c>
      <c r="AE103" t="str">
        <v>Columbus, USA</v>
      </c>
      <c r="AF103">
        <v>6.3780821917808215</v>
      </c>
      <c r="AG103" t="str">
        <v>Full time</v>
      </c>
      <c r="AJ103" t="str">
        <v>TN01601</v>
      </c>
      <c r="AK103" t="str">
        <v>Melva</v>
      </c>
      <c r="AL103" t="str">
        <v>Jickells</v>
      </c>
      <c r="AM103" t="str">
        <v>Female</v>
      </c>
      <c r="AN103" t="str">
        <v>Product Management</v>
      </c>
      <c r="AO103">
        <v>68795.48</v>
      </c>
      <c r="AP103" t="str">
        <v>50k to 100k</v>
      </c>
      <c r="AQ103" s="39">
        <v>44277</v>
      </c>
      <c r="AR103">
        <v>0.2</v>
      </c>
      <c r="AS103" t="str">
        <v>Permanent</v>
      </c>
      <c r="AT103" t="str">
        <v>Remote</v>
      </c>
      <c r="AU103">
        <v>3.2520547945205478</v>
      </c>
      <c r="AV103" t="str">
        <v>Part time</v>
      </c>
      <c r="AW103" t="str">
        <v>Monday</v>
      </c>
    </row>
    <row r="104" spans="9:49" x14ac:dyDescent="0.25">
      <c r="I104" s="57"/>
      <c r="U104" t="str">
        <v>SQ02246</v>
      </c>
      <c r="V104" t="str">
        <v>Matias</v>
      </c>
      <c r="W104" t="str">
        <v>Cormack</v>
      </c>
      <c r="X104" t="str">
        <v>Male</v>
      </c>
      <c r="Y104" t="str">
        <v>Research and Development</v>
      </c>
      <c r="Z104">
        <v>85455.53</v>
      </c>
      <c r="AA104" t="str">
        <v>50k to 100k</v>
      </c>
      <c r="AB104" s="57">
        <v>43839</v>
      </c>
      <c r="AC104">
        <v>1</v>
      </c>
      <c r="AD104" t="str">
        <v>Permanent</v>
      </c>
      <c r="AE104" t="str">
        <v>Wellington, New Zealand</v>
      </c>
      <c r="AF104">
        <v>4.4520547945205475</v>
      </c>
      <c r="AG104" t="str">
        <v>Full time</v>
      </c>
      <c r="AJ104" t="str">
        <v>SQ03350</v>
      </c>
      <c r="AK104" t="str">
        <v>Felice</v>
      </c>
      <c r="AL104" t="str">
        <v>McMurty</v>
      </c>
      <c r="AM104" t="str">
        <v>Female</v>
      </c>
      <c r="AN104" t="str">
        <v>Product Management</v>
      </c>
      <c r="AO104">
        <v>66865.490000000005</v>
      </c>
      <c r="AP104" t="str">
        <v>50k to 100k</v>
      </c>
      <c r="AQ104" s="39">
        <v>43514</v>
      </c>
      <c r="AR104">
        <v>1</v>
      </c>
      <c r="AS104" t="str">
        <v>Permanent</v>
      </c>
      <c r="AT104" t="str">
        <v>Seattle, USA</v>
      </c>
      <c r="AU104">
        <v>5.3424657534246576</v>
      </c>
      <c r="AV104" t="str">
        <v>Full time</v>
      </c>
      <c r="AW104" t="str">
        <v>Monday</v>
      </c>
    </row>
    <row r="105" spans="9:49" x14ac:dyDescent="0.25">
      <c r="I105" s="57"/>
      <c r="U105" t="str">
        <v>SQ04613</v>
      </c>
      <c r="V105" t="str">
        <v>Sarojini</v>
      </c>
      <c r="W105" t="str">
        <v>Naueshwara</v>
      </c>
      <c r="X105" t="str">
        <v>Female</v>
      </c>
      <c r="Y105" t="str">
        <v>Human Resources</v>
      </c>
      <c r="Z105">
        <v>85264.38</v>
      </c>
      <c r="AA105" t="str">
        <v>50k to 100k</v>
      </c>
      <c r="AB105" s="57">
        <v>43220</v>
      </c>
      <c r="AC105">
        <v>1</v>
      </c>
      <c r="AD105" t="str">
        <v>Permanent</v>
      </c>
      <c r="AE105" t="str">
        <v>Chennai, India</v>
      </c>
      <c r="AF105">
        <v>6.1479452054794521</v>
      </c>
      <c r="AG105" t="str">
        <v>Full time</v>
      </c>
      <c r="AJ105" t="str">
        <v>SQ03350</v>
      </c>
      <c r="AK105" t="str">
        <v>Felice</v>
      </c>
      <c r="AL105" t="str">
        <v>McMurty</v>
      </c>
      <c r="AM105" t="str">
        <v>Female</v>
      </c>
      <c r="AN105" t="str">
        <v>Product Management</v>
      </c>
      <c r="AO105">
        <v>66865.490000000005</v>
      </c>
      <c r="AP105" t="str">
        <v>50k to 100k</v>
      </c>
      <c r="AQ105" s="39">
        <v>43514</v>
      </c>
      <c r="AR105">
        <v>1</v>
      </c>
      <c r="AS105" t="str">
        <v>Permanent</v>
      </c>
      <c r="AT105" t="str">
        <v>Seattle, USA</v>
      </c>
      <c r="AU105">
        <v>5.3424657534246576</v>
      </c>
      <c r="AV105" t="str">
        <v>Full time</v>
      </c>
      <c r="AW105" t="str">
        <v>Monday</v>
      </c>
    </row>
    <row r="106" spans="9:49" x14ac:dyDescent="0.25">
      <c r="I106" s="57"/>
      <c r="U106" t="str">
        <v>TN02883</v>
      </c>
      <c r="V106" t="str">
        <v>John</v>
      </c>
      <c r="W106" t="str">
        <v>Joseph</v>
      </c>
      <c r="X106" t="str">
        <v>Female</v>
      </c>
      <c r="Y106" t="str">
        <v>Sales</v>
      </c>
      <c r="Z106">
        <v>84762.76</v>
      </c>
      <c r="AA106" t="str">
        <v>50k to 100k</v>
      </c>
      <c r="AB106" s="57">
        <v>43332</v>
      </c>
      <c r="AC106">
        <v>1</v>
      </c>
      <c r="AD106" t="str">
        <v>Permanent</v>
      </c>
      <c r="AE106" t="str">
        <v>Hyderabad, India</v>
      </c>
      <c r="AF106">
        <v>5.8410958904109593</v>
      </c>
      <c r="AG106" t="str">
        <v>Full time</v>
      </c>
      <c r="AJ106" t="str">
        <v>PR00576</v>
      </c>
      <c r="AK106" t="str">
        <v>Lalitchandra</v>
      </c>
      <c r="AL106" t="str">
        <v>Vadali</v>
      </c>
      <c r="AM106" t="str">
        <v>Female</v>
      </c>
      <c r="AN106" t="str">
        <v>Legal</v>
      </c>
      <c r="AO106">
        <v>63705.4</v>
      </c>
      <c r="AP106" t="str">
        <v>50k to 100k</v>
      </c>
      <c r="AQ106" s="39">
        <v>43682</v>
      </c>
      <c r="AR106">
        <v>1</v>
      </c>
      <c r="AS106" t="str">
        <v>Permanent</v>
      </c>
      <c r="AT106" t="str">
        <v>Hyderabad, India</v>
      </c>
      <c r="AU106">
        <v>4.882191780821918</v>
      </c>
      <c r="AV106" t="str">
        <v>Full time</v>
      </c>
      <c r="AW106" t="str">
        <v>Monday</v>
      </c>
    </row>
    <row r="107" spans="9:49" x14ac:dyDescent="0.25">
      <c r="I107" s="57"/>
      <c r="U107" t="str">
        <v>PR02957</v>
      </c>
      <c r="V107" t="str">
        <v>Vaughn</v>
      </c>
      <c r="W107" t="str">
        <v>Carvill</v>
      </c>
      <c r="X107" t="str">
        <v>Female</v>
      </c>
      <c r="Y107" t="str">
        <v>Training</v>
      </c>
      <c r="Z107">
        <v>84745.93</v>
      </c>
      <c r="AA107" t="str">
        <v>50k to 100k</v>
      </c>
      <c r="AB107" s="57">
        <v>43707</v>
      </c>
      <c r="AC107">
        <v>1</v>
      </c>
      <c r="AD107" t="str">
        <v>Permanent</v>
      </c>
      <c r="AE107" t="str">
        <v>Wellington, New Zealand</v>
      </c>
      <c r="AF107">
        <v>4.8136986301369866</v>
      </c>
      <c r="AG107" t="str">
        <v>Full time</v>
      </c>
      <c r="AJ107" t="str">
        <v>PR02603</v>
      </c>
      <c r="AK107" t="str">
        <v>Dinanath</v>
      </c>
      <c r="AL107" t="str">
        <v>Simhambhatla</v>
      </c>
      <c r="AM107" t="str">
        <v>Female</v>
      </c>
      <c r="AN107" t="str">
        <v>Human Resources</v>
      </c>
      <c r="AO107">
        <v>61994.76</v>
      </c>
      <c r="AP107" t="str">
        <v>50k to 100k</v>
      </c>
      <c r="AQ107" s="39">
        <v>43794</v>
      </c>
      <c r="AR107">
        <v>0.3</v>
      </c>
      <c r="AS107" t="str">
        <v>Permanent</v>
      </c>
      <c r="AT107" t="str">
        <v>Hyderabad, India</v>
      </c>
      <c r="AU107">
        <v>4.5753424657534243</v>
      </c>
      <c r="AV107" t="str">
        <v>Part time</v>
      </c>
    </row>
    <row r="108" spans="9:49" x14ac:dyDescent="0.25">
      <c r="I108" s="57"/>
      <c r="U108" t="str">
        <v>PR01306</v>
      </c>
      <c r="V108" t="str">
        <v>Patti</v>
      </c>
      <c r="W108" t="str">
        <v>Dradey</v>
      </c>
      <c r="X108" t="str">
        <v>Male</v>
      </c>
      <c r="Y108" t="str">
        <v>Services</v>
      </c>
      <c r="Z108">
        <v>84742.86</v>
      </c>
      <c r="AA108" t="str">
        <v>50k to 100k</v>
      </c>
      <c r="AB108" s="57">
        <v>44098</v>
      </c>
      <c r="AC108">
        <v>1</v>
      </c>
      <c r="AD108" t="str">
        <v>Permanent</v>
      </c>
      <c r="AE108" t="str">
        <v>Auckland, New Zealand</v>
      </c>
      <c r="AF108">
        <v>3.7424657534246575</v>
      </c>
      <c r="AG108" t="str">
        <v>Full time</v>
      </c>
      <c r="AJ108" t="str">
        <v>TN00083</v>
      </c>
      <c r="AK108" t="str">
        <v>Chandana</v>
      </c>
      <c r="AL108" t="str">
        <v>Sannidhi</v>
      </c>
      <c r="AM108" t="str">
        <v>Female</v>
      </c>
      <c r="AN108" t="str">
        <v>Business Development</v>
      </c>
      <c r="AO108">
        <v>61688.77</v>
      </c>
      <c r="AP108" t="str">
        <v>50k to 100k</v>
      </c>
      <c r="AQ108" s="39">
        <v>43346</v>
      </c>
      <c r="AR108">
        <v>0.9</v>
      </c>
      <c r="AS108" t="str">
        <v>Permanent</v>
      </c>
      <c r="AT108" t="str">
        <v>Chennai, India</v>
      </c>
      <c r="AU108">
        <v>5.8027397260273972</v>
      </c>
      <c r="AV108" t="str">
        <v>Part time</v>
      </c>
    </row>
    <row r="109" spans="9:49" x14ac:dyDescent="0.25">
      <c r="I109" s="57"/>
      <c r="U109" t="str">
        <v>VT00596</v>
      </c>
      <c r="V109" t="str">
        <v>Letisha</v>
      </c>
      <c r="W109" t="str">
        <v>Carrett</v>
      </c>
      <c r="X109" t="str">
        <v>Female</v>
      </c>
      <c r="Y109" t="str">
        <v>Sales</v>
      </c>
      <c r="Z109">
        <v>84598.88</v>
      </c>
      <c r="AA109" t="str">
        <v>50k to 100k</v>
      </c>
      <c r="AB109" s="57">
        <v>44116</v>
      </c>
      <c r="AC109">
        <v>1</v>
      </c>
      <c r="AD109" t="str">
        <v>Fixed Term</v>
      </c>
      <c r="AE109" t="str">
        <v>Seattle, USA</v>
      </c>
      <c r="AF109">
        <v>3.6931506849315068</v>
      </c>
      <c r="AG109" t="str">
        <v>Full time</v>
      </c>
      <c r="AJ109" t="str">
        <v>VT03988</v>
      </c>
      <c r="AK109" t="str">
        <v>Venkat</v>
      </c>
      <c r="AL109" t="str">
        <v>Kodi</v>
      </c>
      <c r="AM109" t="str">
        <v>Female</v>
      </c>
      <c r="AN109" t="str">
        <v>Support</v>
      </c>
      <c r="AO109">
        <v>58935.92</v>
      </c>
      <c r="AP109" t="str">
        <v>50k to 100k</v>
      </c>
      <c r="AQ109" s="39">
        <v>43717</v>
      </c>
      <c r="AR109">
        <v>1</v>
      </c>
      <c r="AS109" t="str">
        <v>Temporary</v>
      </c>
      <c r="AT109" t="str">
        <v>Hyderabad, India</v>
      </c>
      <c r="AU109">
        <v>4.7863013698630139</v>
      </c>
      <c r="AV109" t="str">
        <v>Full time</v>
      </c>
    </row>
    <row r="110" spans="9:49" x14ac:dyDescent="0.25">
      <c r="I110" s="57"/>
      <c r="U110" t="str">
        <v>VT00596</v>
      </c>
      <c r="V110" t="str">
        <v>Letisha</v>
      </c>
      <c r="W110" t="str">
        <v>Carrett</v>
      </c>
      <c r="X110" t="str">
        <v>Female</v>
      </c>
      <c r="Y110" t="str">
        <v>Sales</v>
      </c>
      <c r="Z110">
        <v>84598.88</v>
      </c>
      <c r="AA110" t="str">
        <v>50k to 100k</v>
      </c>
      <c r="AB110" s="57">
        <v>44116</v>
      </c>
      <c r="AC110">
        <v>1</v>
      </c>
      <c r="AD110" t="str">
        <v>Fixed Term</v>
      </c>
      <c r="AE110" t="str">
        <v>Seattle, USA</v>
      </c>
      <c r="AF110">
        <v>3.6931506849315068</v>
      </c>
      <c r="AG110" t="str">
        <v>Full time</v>
      </c>
      <c r="AJ110" t="str">
        <v>PR02016</v>
      </c>
      <c r="AK110" t="str">
        <v>Iris</v>
      </c>
      <c r="AL110" t="str">
        <v>Wagg</v>
      </c>
      <c r="AM110" t="str">
        <v>Female</v>
      </c>
      <c r="AN110" t="str">
        <v>Engineering</v>
      </c>
      <c r="AO110">
        <v>58861.19</v>
      </c>
      <c r="AP110" t="str">
        <v>50k to 100k</v>
      </c>
      <c r="AQ110" s="39">
        <v>43654</v>
      </c>
      <c r="AR110">
        <v>1</v>
      </c>
      <c r="AS110" t="str">
        <v>Permanent</v>
      </c>
      <c r="AT110" t="str">
        <v>Columbus, USA</v>
      </c>
      <c r="AU110">
        <v>4.9589041095890414</v>
      </c>
      <c r="AV110" t="str">
        <v>Full time</v>
      </c>
    </row>
    <row r="111" spans="9:49" x14ac:dyDescent="0.25">
      <c r="I111" s="57"/>
      <c r="U111" t="str">
        <v>PR00916</v>
      </c>
      <c r="V111" t="str">
        <v>Inger</v>
      </c>
      <c r="W111" t="str">
        <v>Chapelhow</v>
      </c>
      <c r="X111" t="str">
        <v>Female</v>
      </c>
      <c r="Y111" t="str">
        <v>Research and Development</v>
      </c>
      <c r="Z111">
        <v>84309.95</v>
      </c>
      <c r="AA111" t="str">
        <v>50k to 100k</v>
      </c>
      <c r="AB111" s="57">
        <v>44501</v>
      </c>
      <c r="AC111">
        <v>1</v>
      </c>
      <c r="AD111" t="str">
        <v>Permanent</v>
      </c>
      <c r="AE111" t="str">
        <v>Remote</v>
      </c>
      <c r="AF111">
        <v>2.6383561643835618</v>
      </c>
      <c r="AG111" t="str">
        <v>Full time</v>
      </c>
      <c r="AJ111" t="str">
        <v>VT04415</v>
      </c>
      <c r="AK111" t="str">
        <v>Malory</v>
      </c>
      <c r="AL111" t="str">
        <v>Biles</v>
      </c>
      <c r="AM111" t="str">
        <v>Female</v>
      </c>
      <c r="AN111" t="str">
        <v>Training</v>
      </c>
      <c r="AO111">
        <v>58744.17</v>
      </c>
      <c r="AP111" t="str">
        <v>50k to 100k</v>
      </c>
      <c r="AQ111" s="39">
        <v>43171</v>
      </c>
      <c r="AR111">
        <v>1</v>
      </c>
      <c r="AS111" t="str">
        <v>Temporary</v>
      </c>
      <c r="AT111" t="str">
        <v>Columbus, USA</v>
      </c>
      <c r="AU111">
        <v>6.2821917808219174</v>
      </c>
      <c r="AV111" t="str">
        <v>Full time</v>
      </c>
    </row>
    <row r="112" spans="9:49" x14ac:dyDescent="0.25">
      <c r="I112" s="57"/>
      <c r="U112" t="str">
        <v>VT03993</v>
      </c>
      <c r="V112" t="str">
        <v>Dulce</v>
      </c>
      <c r="W112" t="str">
        <v>Colbeck</v>
      </c>
      <c r="X112" t="str">
        <v>Male</v>
      </c>
      <c r="Y112" t="str">
        <v>Human Resources</v>
      </c>
      <c r="Z112">
        <v>83396.5</v>
      </c>
      <c r="AA112" t="str">
        <v>50k to 100k</v>
      </c>
      <c r="AB112" s="57">
        <v>44285</v>
      </c>
      <c r="AC112">
        <v>1</v>
      </c>
      <c r="AD112" t="str">
        <v>Temporary</v>
      </c>
      <c r="AE112" t="str">
        <v>Auckland, New Zealand</v>
      </c>
      <c r="AF112">
        <v>3.2301369863013698</v>
      </c>
      <c r="AG112" t="str">
        <v>Full time</v>
      </c>
      <c r="AJ112" t="str">
        <v>TN02749</v>
      </c>
      <c r="AK112" t="str">
        <v>Parasuramudu</v>
      </c>
      <c r="AL112" t="str">
        <v>Jamakayala</v>
      </c>
      <c r="AM112" t="str">
        <v>Female</v>
      </c>
      <c r="AN112" t="str">
        <v>Training</v>
      </c>
      <c r="AO112">
        <v>57002.02</v>
      </c>
      <c r="AP112" t="str">
        <v>50k to 100k</v>
      </c>
      <c r="AQ112" s="39">
        <v>43192</v>
      </c>
      <c r="AR112">
        <v>0.7</v>
      </c>
      <c r="AS112" t="str">
        <v>Permanent</v>
      </c>
      <c r="AT112" t="str">
        <v>Hyderabad, India</v>
      </c>
      <c r="AU112">
        <v>6.2246575342465755</v>
      </c>
      <c r="AV112" t="str">
        <v>Part time</v>
      </c>
    </row>
    <row r="113" spans="9:48" x14ac:dyDescent="0.25">
      <c r="I113" s="57"/>
      <c r="U113" t="str">
        <v>VT03307</v>
      </c>
      <c r="V113" t="str">
        <v>Tallie</v>
      </c>
      <c r="W113" t="str">
        <v>Chaikovski</v>
      </c>
      <c r="X113" t="str">
        <v>Male</v>
      </c>
      <c r="Y113" t="str">
        <v>Sales</v>
      </c>
      <c r="Z113">
        <v>83191.95</v>
      </c>
      <c r="AA113" t="str">
        <v>50k to 100k</v>
      </c>
      <c r="AB113" s="57">
        <v>43700</v>
      </c>
      <c r="AC113">
        <v>0.6</v>
      </c>
      <c r="AD113" t="str">
        <v>Temporary</v>
      </c>
      <c r="AE113" t="str">
        <v>Remote</v>
      </c>
      <c r="AF113">
        <v>4.8328767123287673</v>
      </c>
      <c r="AG113" t="str">
        <v>Part time</v>
      </c>
      <c r="AJ113" t="str">
        <v>VT00740</v>
      </c>
      <c r="AK113" t="str">
        <v>Chitrasen</v>
      </c>
      <c r="AL113" t="str">
        <v>Laul</v>
      </c>
      <c r="AM113" t="str">
        <v>Female</v>
      </c>
      <c r="AN113" t="str">
        <v>Research and Development</v>
      </c>
      <c r="AO113">
        <v>46751.7</v>
      </c>
      <c r="AP113" t="str">
        <v>Under 50k</v>
      </c>
      <c r="AQ113" s="39">
        <v>43843</v>
      </c>
      <c r="AR113">
        <v>1</v>
      </c>
      <c r="AS113" t="str">
        <v>Fixed Term</v>
      </c>
      <c r="AT113" t="str">
        <v>Hyderabad, India</v>
      </c>
      <c r="AU113">
        <v>4.441095890410959</v>
      </c>
      <c r="AV113" t="str">
        <v>Full time</v>
      </c>
    </row>
    <row r="114" spans="9:48" x14ac:dyDescent="0.25">
      <c r="I114" s="57"/>
      <c r="U114" t="str">
        <v>VT03298</v>
      </c>
      <c r="V114" t="str">
        <v>Nonah</v>
      </c>
      <c r="W114" t="str">
        <v>Bissell</v>
      </c>
      <c r="X114" t="str">
        <v>Male</v>
      </c>
      <c r="Y114" t="str">
        <v>Engineering</v>
      </c>
      <c r="Z114">
        <v>82239.53</v>
      </c>
      <c r="AA114" t="str">
        <v>50k to 100k</v>
      </c>
      <c r="AB114" s="57">
        <v>43846</v>
      </c>
      <c r="AC114">
        <v>1</v>
      </c>
      <c r="AD114" t="str">
        <v>Temporary</v>
      </c>
      <c r="AE114" t="str">
        <v>Columbus, USA</v>
      </c>
      <c r="AF114">
        <v>4.4328767123287669</v>
      </c>
      <c r="AG114" t="str">
        <v>Full time</v>
      </c>
      <c r="AJ114" t="str">
        <v>SQ01402</v>
      </c>
      <c r="AK114" t="str">
        <v>Sahaj</v>
      </c>
      <c r="AL114" t="str">
        <v>Jonnalagadda</v>
      </c>
      <c r="AM114" t="str">
        <v>Female</v>
      </c>
      <c r="AN114" t="str">
        <v>Engineering</v>
      </c>
      <c r="AO114">
        <v>44403.77</v>
      </c>
      <c r="AP114" t="str">
        <v>Under 50k</v>
      </c>
      <c r="AQ114" s="39">
        <v>43416</v>
      </c>
      <c r="AR114">
        <v>1</v>
      </c>
      <c r="AS114" t="str">
        <v>Permanent</v>
      </c>
      <c r="AT114" t="str">
        <v>Hyderabad, India</v>
      </c>
      <c r="AU114">
        <v>5.6109589041095891</v>
      </c>
      <c r="AV114" t="str">
        <v>Full time</v>
      </c>
    </row>
    <row r="115" spans="9:48" x14ac:dyDescent="0.25">
      <c r="I115" s="57"/>
      <c r="U115" t="str">
        <v>PR02321</v>
      </c>
      <c r="V115" t="str">
        <v>Evanne</v>
      </c>
      <c r="W115" t="str">
        <v>Sheryn</v>
      </c>
      <c r="X115" t="str">
        <v>Female</v>
      </c>
      <c r="Y115" t="str">
        <v>Services</v>
      </c>
      <c r="Z115">
        <v>81897.789999999994</v>
      </c>
      <c r="AA115" t="str">
        <v>50k to 100k</v>
      </c>
      <c r="AB115" s="57">
        <v>43146</v>
      </c>
      <c r="AC115">
        <v>1</v>
      </c>
      <c r="AD115" t="str">
        <v>Permanent</v>
      </c>
      <c r="AE115" t="str">
        <v>Auckland, New Zealand</v>
      </c>
      <c r="AF115">
        <v>6.3506849315068497</v>
      </c>
      <c r="AG115" t="str">
        <v>Full time</v>
      </c>
      <c r="AJ115" t="str">
        <v>VT00578</v>
      </c>
      <c r="AK115" t="str">
        <v>Magnum</v>
      </c>
      <c r="AL115" t="str">
        <v>Locksley</v>
      </c>
      <c r="AM115" t="str">
        <v>Female</v>
      </c>
      <c r="AN115" t="str">
        <v>Services</v>
      </c>
      <c r="AO115">
        <v>42314.39</v>
      </c>
      <c r="AP115" t="str">
        <v>Under 50k</v>
      </c>
      <c r="AQ115" s="39">
        <v>44487</v>
      </c>
      <c r="AR115">
        <v>1</v>
      </c>
      <c r="AS115" t="str">
        <v>Fixed Term</v>
      </c>
      <c r="AT115" t="str">
        <v>Remote</v>
      </c>
      <c r="AU115">
        <v>2.6767123287671235</v>
      </c>
      <c r="AV115" t="str">
        <v>Full time</v>
      </c>
    </row>
    <row r="116" spans="9:48" x14ac:dyDescent="0.25">
      <c r="I116" s="57"/>
      <c r="U116" t="str">
        <v>VT03771</v>
      </c>
      <c r="V116" t="str">
        <v>Marjie</v>
      </c>
      <c r="W116" t="str">
        <v>Bamford</v>
      </c>
      <c r="X116" t="str">
        <v>Male</v>
      </c>
      <c r="Y116" t="str">
        <v>Sales</v>
      </c>
      <c r="Z116">
        <v>80772.92</v>
      </c>
      <c r="AA116" t="str">
        <v>50k to 100k</v>
      </c>
      <c r="AB116" s="57">
        <v>44137</v>
      </c>
      <c r="AC116">
        <v>1</v>
      </c>
      <c r="AD116" t="str">
        <v>Temporary</v>
      </c>
      <c r="AE116" t="str">
        <v>Remote</v>
      </c>
      <c r="AF116">
        <v>3.6356164383561644</v>
      </c>
      <c r="AG116" t="str">
        <v>Full time</v>
      </c>
      <c r="AJ116" t="str">
        <v>PR02275</v>
      </c>
      <c r="AK116" t="str">
        <v>Louise</v>
      </c>
      <c r="AL116" t="str">
        <v>Lamming</v>
      </c>
      <c r="AM116" t="str">
        <v>Female</v>
      </c>
      <c r="AN116" t="str">
        <v>Sales</v>
      </c>
      <c r="AO116">
        <v>41934.71</v>
      </c>
      <c r="AP116" t="str">
        <v>Under 50k</v>
      </c>
      <c r="AQ116" s="39">
        <v>43780</v>
      </c>
      <c r="AR116">
        <v>1</v>
      </c>
      <c r="AS116" t="str">
        <v>Permanent</v>
      </c>
      <c r="AT116" t="str">
        <v>Remote</v>
      </c>
      <c r="AU116">
        <v>4.6136986301369864</v>
      </c>
      <c r="AV116" t="str">
        <v>Full time</v>
      </c>
    </row>
    <row r="117" spans="9:48" x14ac:dyDescent="0.25">
      <c r="I117" s="57"/>
      <c r="U117" t="str">
        <v>PR00113</v>
      </c>
      <c r="V117" t="str">
        <v>Van</v>
      </c>
      <c r="W117" t="str">
        <v>Tuxwell</v>
      </c>
      <c r="X117" t="str">
        <v>Female</v>
      </c>
      <c r="Y117" t="str">
        <v>Business Growth</v>
      </c>
      <c r="Z117">
        <v>80695.740000000005</v>
      </c>
      <c r="AA117" t="str">
        <v>50k to 100k</v>
      </c>
      <c r="AB117" s="57">
        <v>43360</v>
      </c>
      <c r="AC117">
        <v>1</v>
      </c>
      <c r="AD117" t="str">
        <v>Permanent</v>
      </c>
      <c r="AE117" t="str">
        <v>Columbus, USA</v>
      </c>
      <c r="AF117">
        <v>5.7643835616438359</v>
      </c>
      <c r="AG117" t="str">
        <v>Full time</v>
      </c>
      <c r="AJ117" t="str">
        <v>SQ00914</v>
      </c>
      <c r="AK117" t="str">
        <v>Duran</v>
      </c>
      <c r="AL117" t="str">
        <v>Appala</v>
      </c>
      <c r="AM117" t="str">
        <v>Female</v>
      </c>
      <c r="AN117" t="str">
        <v>Product Management</v>
      </c>
      <c r="AO117">
        <v>38438.239999999998</v>
      </c>
      <c r="AP117" t="str">
        <v>Under 50k</v>
      </c>
      <c r="AQ117" s="39">
        <v>43962</v>
      </c>
      <c r="AR117">
        <v>1</v>
      </c>
      <c r="AS117" t="str">
        <v>Permanent</v>
      </c>
      <c r="AT117" t="str">
        <v>Chennai, India</v>
      </c>
      <c r="AU117">
        <v>4.1150684931506847</v>
      </c>
      <c r="AV117" t="str">
        <v>Full time</v>
      </c>
    </row>
    <row r="118" spans="9:48" x14ac:dyDescent="0.25">
      <c r="I118" s="57"/>
      <c r="U118" t="str">
        <v>PR00113</v>
      </c>
      <c r="V118" t="str">
        <v>Van</v>
      </c>
      <c r="W118" t="str">
        <v>Tuxwell</v>
      </c>
      <c r="X118" t="str">
        <v>Female</v>
      </c>
      <c r="Y118" t="str">
        <v>Business Development</v>
      </c>
      <c r="Z118">
        <v>80695.740000000005</v>
      </c>
      <c r="AA118" t="str">
        <v>50k to 100k</v>
      </c>
      <c r="AB118" s="57">
        <v>43360</v>
      </c>
      <c r="AC118">
        <v>1</v>
      </c>
      <c r="AD118" t="str">
        <v>Permanent</v>
      </c>
      <c r="AE118" t="str">
        <v>Columbus, USA</v>
      </c>
      <c r="AF118">
        <v>5.7643835616438359</v>
      </c>
      <c r="AG118" t="str">
        <v>Full time</v>
      </c>
      <c r="AJ118" t="str">
        <v>SQ00914</v>
      </c>
      <c r="AK118" t="str">
        <v>Karuna</v>
      </c>
      <c r="AL118" t="str">
        <v>Pashupathy</v>
      </c>
      <c r="AM118" t="str">
        <v>Female</v>
      </c>
      <c r="AN118" t="str">
        <v>Product Management</v>
      </c>
      <c r="AO118">
        <v>38438.239999999998</v>
      </c>
      <c r="AP118" t="str">
        <v>Under 50k</v>
      </c>
      <c r="AQ118" s="39">
        <v>43962</v>
      </c>
      <c r="AR118">
        <v>1</v>
      </c>
      <c r="AS118" t="str">
        <v>Permanent</v>
      </c>
      <c r="AT118" t="str">
        <v>Chennai, India</v>
      </c>
      <c r="AU118">
        <v>4.1150684931506847</v>
      </c>
      <c r="AV118" t="str">
        <v>Full time</v>
      </c>
    </row>
    <row r="119" spans="9:48" x14ac:dyDescent="0.25">
      <c r="I119" s="57"/>
      <c r="U119" t="str">
        <v>PR04380</v>
      </c>
      <c r="V119" t="str">
        <v>Van</v>
      </c>
      <c r="W119" t="str">
        <v>Tuxwell</v>
      </c>
      <c r="X119" t="str">
        <v>Female</v>
      </c>
      <c r="Y119" t="str">
        <v>Business Development</v>
      </c>
      <c r="Z119">
        <v>80695.740000000005</v>
      </c>
      <c r="AA119" t="str">
        <v>50k to 100k</v>
      </c>
      <c r="AB119" s="57">
        <v>43787</v>
      </c>
      <c r="AC119">
        <v>0.8</v>
      </c>
      <c r="AD119" t="str">
        <v>Permanent</v>
      </c>
      <c r="AE119" t="str">
        <v>Columbus, USA</v>
      </c>
      <c r="AF119">
        <v>4.5945205479452058</v>
      </c>
      <c r="AG119" t="str">
        <v>Part time</v>
      </c>
      <c r="AJ119" t="str">
        <v>VT02532</v>
      </c>
      <c r="AK119" t="str">
        <v>Adey</v>
      </c>
      <c r="AL119" t="str">
        <v>Ryal</v>
      </c>
      <c r="AM119" t="str">
        <v>Female</v>
      </c>
      <c r="AN119" t="str">
        <v>Legal</v>
      </c>
      <c r="AO119">
        <v>32496.880000000001</v>
      </c>
      <c r="AP119" t="str">
        <v>Under 50k</v>
      </c>
      <c r="AQ119" s="39">
        <v>43234</v>
      </c>
      <c r="AR119">
        <v>1</v>
      </c>
      <c r="AS119" t="str">
        <v>Temporary</v>
      </c>
      <c r="AT119" t="str">
        <v>Remote</v>
      </c>
      <c r="AU119">
        <v>6.1095890410958908</v>
      </c>
      <c r="AV119" t="str">
        <v>Full time</v>
      </c>
    </row>
    <row r="120" spans="9:48" x14ac:dyDescent="0.25">
      <c r="I120" s="57"/>
      <c r="U120" t="str">
        <v>TN01566</v>
      </c>
      <c r="V120" t="str">
        <v>Fonzie</v>
      </c>
      <c r="W120" t="str">
        <v>O'Shea</v>
      </c>
      <c r="X120" t="str">
        <v>Male</v>
      </c>
      <c r="Y120" t="str">
        <v>Product Management</v>
      </c>
      <c r="Z120">
        <v>80360.41</v>
      </c>
      <c r="AA120" t="str">
        <v>50k to 100k</v>
      </c>
      <c r="AB120" s="57">
        <v>44167</v>
      </c>
      <c r="AC120">
        <v>1</v>
      </c>
      <c r="AD120" t="str">
        <v>Permanent</v>
      </c>
      <c r="AE120" t="str">
        <v>Remote</v>
      </c>
      <c r="AF120">
        <v>3.5534246575342467</v>
      </c>
      <c r="AG120" t="str">
        <v>Full time</v>
      </c>
      <c r="AJ120" t="str">
        <v>SQ01730</v>
      </c>
      <c r="AK120" t="str">
        <v>Austine</v>
      </c>
      <c r="AL120" t="str">
        <v>Littlewood</v>
      </c>
      <c r="AM120" t="str">
        <v>Female</v>
      </c>
      <c r="AN120" t="str">
        <v>Services</v>
      </c>
      <c r="AO120">
        <v>32269.91</v>
      </c>
      <c r="AP120" t="str">
        <v>Under 50k</v>
      </c>
      <c r="AQ120" s="39">
        <v>43346</v>
      </c>
      <c r="AR120">
        <v>1</v>
      </c>
      <c r="AS120" t="str">
        <v>Permanent</v>
      </c>
      <c r="AT120" t="str">
        <v>Remote</v>
      </c>
      <c r="AU120">
        <v>5.8027397260273972</v>
      </c>
      <c r="AV120" t="str">
        <v>Full time</v>
      </c>
    </row>
    <row r="121" spans="9:48" x14ac:dyDescent="0.25">
      <c r="I121" s="57"/>
      <c r="U121" t="str">
        <v>TN01876</v>
      </c>
      <c r="V121" t="str">
        <v>Aileen</v>
      </c>
      <c r="W121" t="str">
        <v>McCritchie</v>
      </c>
      <c r="X121" t="str">
        <v>Male</v>
      </c>
      <c r="Y121" t="str">
        <v>Business Development</v>
      </c>
      <c r="Z121">
        <v>80169.42</v>
      </c>
      <c r="AA121" t="str">
        <v>50k to 100k</v>
      </c>
      <c r="AB121" s="57">
        <v>44053</v>
      </c>
      <c r="AC121">
        <v>1</v>
      </c>
      <c r="AD121" t="str">
        <v>Permanent</v>
      </c>
      <c r="AE121" t="str">
        <v>Auckland, New Zealand</v>
      </c>
      <c r="AF121">
        <v>3.8657534246575342</v>
      </c>
      <c r="AG121" t="str">
        <v>Full time</v>
      </c>
      <c r="AJ121" t="str">
        <v>VT01249</v>
      </c>
      <c r="AK121" t="str">
        <v>Brendan</v>
      </c>
      <c r="AL121" t="str">
        <v>Edgeller</v>
      </c>
      <c r="AM121" t="str">
        <v>Female</v>
      </c>
      <c r="AN121" t="str">
        <v>Legal</v>
      </c>
      <c r="AO121">
        <v>31042.51</v>
      </c>
      <c r="AP121" t="str">
        <v>Under 50k</v>
      </c>
      <c r="AQ121" s="39">
        <v>44473</v>
      </c>
      <c r="AR121">
        <v>0.3</v>
      </c>
      <c r="AS121" t="str">
        <v>Fixed Term</v>
      </c>
      <c r="AT121" t="str">
        <v>Remote</v>
      </c>
      <c r="AU121">
        <v>2.7150684931506848</v>
      </c>
      <c r="AV121" t="str">
        <v>Part time</v>
      </c>
    </row>
    <row r="122" spans="9:48" x14ac:dyDescent="0.25">
      <c r="I122" s="57"/>
      <c r="U122" t="str">
        <v>TN01876</v>
      </c>
      <c r="V122" t="str">
        <v>Aileen</v>
      </c>
      <c r="W122" t="str">
        <v>McCritchie</v>
      </c>
      <c r="X122" t="str">
        <v>Male</v>
      </c>
      <c r="Y122" t="str">
        <v>Business Development</v>
      </c>
      <c r="Z122">
        <v>80169.42</v>
      </c>
      <c r="AA122" t="str">
        <v>50k to 100k</v>
      </c>
      <c r="AB122" s="57">
        <v>44053</v>
      </c>
      <c r="AC122">
        <v>1</v>
      </c>
      <c r="AD122" t="str">
        <v>Permanent</v>
      </c>
      <c r="AE122" t="str">
        <v>Auckland, New Zealand</v>
      </c>
      <c r="AF122">
        <v>3.8657534246575342</v>
      </c>
      <c r="AG122" t="str">
        <v>Full time</v>
      </c>
      <c r="AQ122" s="39"/>
    </row>
    <row r="123" spans="9:48" x14ac:dyDescent="0.25">
      <c r="I123" s="57"/>
      <c r="U123" t="str">
        <v>TN03210</v>
      </c>
      <c r="V123" t="str">
        <v>Suman</v>
      </c>
      <c r="W123" t="str">
        <v>Katte</v>
      </c>
      <c r="X123" t="str">
        <v>Male</v>
      </c>
      <c r="Y123" t="str">
        <v>Training</v>
      </c>
      <c r="Z123">
        <v>79567.69</v>
      </c>
      <c r="AA123" t="str">
        <v>50k to 100k</v>
      </c>
      <c r="AB123" s="57">
        <v>43272</v>
      </c>
      <c r="AC123">
        <v>1</v>
      </c>
      <c r="AD123" t="str">
        <v>Fixed Term</v>
      </c>
      <c r="AE123" t="str">
        <v>Chennai, India</v>
      </c>
      <c r="AF123">
        <v>6.0054794520547947</v>
      </c>
      <c r="AG123" t="str">
        <v>Full time</v>
      </c>
      <c r="AQ123" s="39"/>
    </row>
    <row r="124" spans="9:48" x14ac:dyDescent="0.25">
      <c r="I124" s="57"/>
      <c r="U124" t="str">
        <v>VT04137</v>
      </c>
      <c r="V124" t="str">
        <v>Marissa</v>
      </c>
      <c r="W124" t="str">
        <v>Infante</v>
      </c>
      <c r="X124" t="str">
        <v>Need to check</v>
      </c>
      <c r="Y124" t="str">
        <v>Training</v>
      </c>
      <c r="Z124">
        <v>78840.23</v>
      </c>
      <c r="AA124" t="str">
        <v>50k to 100k</v>
      </c>
      <c r="AB124" s="57">
        <v>43633</v>
      </c>
      <c r="AC124">
        <v>1</v>
      </c>
      <c r="AD124" t="str">
        <v>Temporary</v>
      </c>
      <c r="AE124" t="str">
        <v>Remote</v>
      </c>
      <c r="AF124">
        <v>5.0164383561643833</v>
      </c>
      <c r="AG124" t="str">
        <v>Full time</v>
      </c>
      <c r="AQ124" s="39"/>
    </row>
    <row r="125" spans="9:48" x14ac:dyDescent="0.25">
      <c r="I125" s="57"/>
      <c r="U125" t="str">
        <v>TN03355</v>
      </c>
      <c r="V125" t="str">
        <v>Ruby</v>
      </c>
      <c r="W125" t="str">
        <v>Cracie</v>
      </c>
      <c r="X125" t="str">
        <v>Male</v>
      </c>
      <c r="Y125" t="str">
        <v>Research and Development</v>
      </c>
      <c r="Z125">
        <v>78705.929999999993</v>
      </c>
      <c r="AA125" t="str">
        <v>50k to 100k</v>
      </c>
      <c r="AB125" s="57">
        <v>43409</v>
      </c>
      <c r="AC125">
        <v>1</v>
      </c>
      <c r="AD125" t="str">
        <v>Fixed Term</v>
      </c>
      <c r="AE125" t="str">
        <v>Seattle, USA</v>
      </c>
      <c r="AF125">
        <v>5.6301369863013697</v>
      </c>
      <c r="AG125" t="str">
        <v>Full time</v>
      </c>
      <c r="AQ125" s="39"/>
    </row>
    <row r="126" spans="9:48" x14ac:dyDescent="0.25">
      <c r="I126" s="57"/>
      <c r="U126" t="str">
        <v>VT00687</v>
      </c>
      <c r="V126" t="str">
        <v>Godavari</v>
      </c>
      <c r="W126" t="str">
        <v>Veena</v>
      </c>
      <c r="X126" t="str">
        <v>Male</v>
      </c>
      <c r="Y126" t="str">
        <v>Engineering</v>
      </c>
      <c r="Z126">
        <v>78443.78</v>
      </c>
      <c r="AA126" t="str">
        <v>50k to 100k</v>
      </c>
      <c r="AB126" s="57">
        <v>43599</v>
      </c>
      <c r="AC126">
        <v>1</v>
      </c>
      <c r="AD126" t="str">
        <v>Fixed Term</v>
      </c>
      <c r="AE126" t="str">
        <v>Hyderabad, India</v>
      </c>
      <c r="AF126">
        <v>5.1095890410958908</v>
      </c>
      <c r="AG126" t="str">
        <v>Full time</v>
      </c>
      <c r="AQ126" s="39"/>
    </row>
    <row r="127" spans="9:48" x14ac:dyDescent="0.25">
      <c r="I127" s="57"/>
      <c r="U127" t="str">
        <v>PR02436</v>
      </c>
      <c r="V127" t="str">
        <v>Marmaduke</v>
      </c>
      <c r="W127" t="str">
        <v>Worssam</v>
      </c>
      <c r="X127" t="str">
        <v>Female</v>
      </c>
      <c r="Y127" t="str">
        <v>Engineering</v>
      </c>
      <c r="Z127">
        <v>78378.2</v>
      </c>
      <c r="AA127" t="str">
        <v>50k to 100k</v>
      </c>
      <c r="AB127" s="57">
        <v>43465</v>
      </c>
      <c r="AC127">
        <v>0.4</v>
      </c>
      <c r="AD127" t="str">
        <v>Permanent</v>
      </c>
      <c r="AE127" t="str">
        <v>Remote</v>
      </c>
      <c r="AF127">
        <v>5.4767123287671229</v>
      </c>
      <c r="AG127" t="str">
        <v>Part time</v>
      </c>
      <c r="AQ127" s="39"/>
    </row>
    <row r="128" spans="9:48" x14ac:dyDescent="0.25">
      <c r="I128" s="57"/>
      <c r="U128" t="str">
        <v>SQ03625</v>
      </c>
      <c r="V128" t="str">
        <v>Fidela</v>
      </c>
      <c r="W128" t="str">
        <v>Artis</v>
      </c>
      <c r="X128" t="str">
        <v>Female</v>
      </c>
      <c r="Y128" t="str">
        <v>Sales</v>
      </c>
      <c r="Z128">
        <v>78020.39</v>
      </c>
      <c r="AA128" t="str">
        <v>50k to 100k</v>
      </c>
      <c r="AB128" s="57">
        <v>43899</v>
      </c>
      <c r="AC128">
        <v>1</v>
      </c>
      <c r="AD128" t="str">
        <v>Permanent</v>
      </c>
      <c r="AE128" t="str">
        <v>Remote</v>
      </c>
      <c r="AF128">
        <v>4.2876712328767121</v>
      </c>
      <c r="AG128" t="str">
        <v>Full time</v>
      </c>
      <c r="AQ128" s="39"/>
    </row>
    <row r="129" spans="9:43" x14ac:dyDescent="0.25">
      <c r="I129" s="57"/>
      <c r="U129" t="str">
        <v>SQ03112</v>
      </c>
      <c r="V129" t="str">
        <v>Kantimoy</v>
      </c>
      <c r="W129" t="str">
        <v>Pritish</v>
      </c>
      <c r="X129" t="str">
        <v>Male</v>
      </c>
      <c r="Y129" t="str">
        <v>Product Management</v>
      </c>
      <c r="Z129">
        <v>77743.149999999994</v>
      </c>
      <c r="AA129" t="str">
        <v>50k to 100k</v>
      </c>
      <c r="AB129" s="57">
        <v>43920</v>
      </c>
      <c r="AC129">
        <v>1</v>
      </c>
      <c r="AD129" t="str">
        <v>Permanent</v>
      </c>
      <c r="AE129" t="str">
        <v>Chennai, India</v>
      </c>
      <c r="AF129">
        <v>4.2301369863013702</v>
      </c>
      <c r="AG129" t="str">
        <v>Full time</v>
      </c>
      <c r="AQ129" s="39"/>
    </row>
    <row r="130" spans="9:43" x14ac:dyDescent="0.25">
      <c r="I130" s="57"/>
      <c r="U130" t="str">
        <v>PR01476</v>
      </c>
      <c r="V130" t="str">
        <v>Jaishree</v>
      </c>
      <c r="W130" t="str">
        <v>Atasi</v>
      </c>
      <c r="X130" t="str">
        <v>Male</v>
      </c>
      <c r="Y130" t="str">
        <v>Services</v>
      </c>
      <c r="Z130">
        <v>77096.05</v>
      </c>
      <c r="AA130" t="str">
        <v>50k to 100k</v>
      </c>
      <c r="AB130" s="57">
        <v>43217</v>
      </c>
      <c r="AC130">
        <v>1</v>
      </c>
      <c r="AD130" t="str">
        <v>Permanent</v>
      </c>
      <c r="AE130" t="str">
        <v>Chennai, India</v>
      </c>
      <c r="AF130">
        <v>6.1561643835616442</v>
      </c>
      <c r="AG130" t="str">
        <v>Full time</v>
      </c>
      <c r="AQ130" s="39"/>
    </row>
    <row r="131" spans="9:43" x14ac:dyDescent="0.25">
      <c r="I131" s="57"/>
      <c r="U131" t="str">
        <v>PR04851</v>
      </c>
      <c r="V131" t="str">
        <v>Rodina</v>
      </c>
      <c r="W131" t="str">
        <v>Drinan</v>
      </c>
      <c r="X131" t="str">
        <v>Female</v>
      </c>
      <c r="Y131" t="str">
        <v>Sales</v>
      </c>
      <c r="Z131">
        <v>77045.440000000002</v>
      </c>
      <c r="AA131" t="str">
        <v>50k to 100k</v>
      </c>
      <c r="AB131" s="57">
        <v>43636</v>
      </c>
      <c r="AC131">
        <v>1</v>
      </c>
      <c r="AD131" t="str">
        <v>Permanent</v>
      </c>
      <c r="AE131" t="str">
        <v>Remote</v>
      </c>
      <c r="AF131">
        <v>5.0082191780821921</v>
      </c>
      <c r="AG131" t="str">
        <v>Full time</v>
      </c>
      <c r="AQ131" s="39"/>
    </row>
    <row r="132" spans="9:43" x14ac:dyDescent="0.25">
      <c r="I132" s="57"/>
      <c r="U132" t="str">
        <v>SQ04488</v>
      </c>
      <c r="V132" t="str">
        <v>Ramnath</v>
      </c>
      <c r="W132" t="str">
        <v>Ravuri</v>
      </c>
      <c r="X132" t="str">
        <v>Male</v>
      </c>
      <c r="Y132" t="str">
        <v>Marketing</v>
      </c>
      <c r="Z132">
        <v>76932.600000000006</v>
      </c>
      <c r="AA132" t="str">
        <v>50k to 100k</v>
      </c>
      <c r="AB132" s="57">
        <v>43493</v>
      </c>
      <c r="AC132">
        <v>1</v>
      </c>
      <c r="AD132" t="str">
        <v>Permanent</v>
      </c>
      <c r="AE132" t="str">
        <v>Hyderabad, India</v>
      </c>
      <c r="AF132">
        <v>5.4</v>
      </c>
      <c r="AG132" t="str">
        <v>Full time</v>
      </c>
      <c r="AQ132" s="39"/>
    </row>
    <row r="133" spans="9:43" x14ac:dyDescent="0.25">
      <c r="I133" s="57"/>
      <c r="U133" t="str">
        <v>VT04627</v>
      </c>
      <c r="V133" t="str">
        <v>Yvette</v>
      </c>
      <c r="W133" t="str">
        <v>Bett</v>
      </c>
      <c r="X133" t="str">
        <v>Male</v>
      </c>
      <c r="Y133" t="str">
        <v>Human Resources</v>
      </c>
      <c r="Z133">
        <v>76320.44</v>
      </c>
      <c r="AA133" t="str">
        <v>50k to 100k</v>
      </c>
      <c r="AB133" s="57">
        <v>44383</v>
      </c>
      <c r="AC133">
        <v>0.8</v>
      </c>
      <c r="AD133" t="str">
        <v>Temporary</v>
      </c>
      <c r="AE133" t="str">
        <v>Remote</v>
      </c>
      <c r="AF133">
        <v>2.9616438356164383</v>
      </c>
      <c r="AG133" t="str">
        <v>Part time</v>
      </c>
      <c r="AQ133" s="39"/>
    </row>
    <row r="134" spans="9:43" x14ac:dyDescent="0.25">
      <c r="I134" s="57"/>
      <c r="U134" t="str">
        <v>VT01610</v>
      </c>
      <c r="V134" t="str">
        <v>Dhruv</v>
      </c>
      <c r="W134" t="str">
        <v>Manjunath</v>
      </c>
      <c r="X134" t="str">
        <v>Female</v>
      </c>
      <c r="Y134" t="str">
        <v>Accounting</v>
      </c>
      <c r="Z134">
        <v>76303.820000000007</v>
      </c>
      <c r="AA134" t="str">
        <v>50k to 100k</v>
      </c>
      <c r="AB134" s="57">
        <v>43458</v>
      </c>
      <c r="AC134">
        <v>1</v>
      </c>
      <c r="AD134" t="str">
        <v>Fixed Term</v>
      </c>
      <c r="AE134" t="str">
        <v>Hyderabad, India</v>
      </c>
      <c r="AF134">
        <v>5.4958904109589044</v>
      </c>
      <c r="AG134" t="str">
        <v>Full time</v>
      </c>
      <c r="AQ134" s="39"/>
    </row>
    <row r="135" spans="9:43" x14ac:dyDescent="0.25">
      <c r="I135" s="57"/>
      <c r="U135" t="str">
        <v>VT01610</v>
      </c>
      <c r="V135" t="str">
        <v>Kunja</v>
      </c>
      <c r="W135" t="str">
        <v>Prashanta</v>
      </c>
      <c r="X135" t="str">
        <v>Female</v>
      </c>
      <c r="Y135" t="str">
        <v>Accounting</v>
      </c>
      <c r="Z135">
        <v>76303.820000000007</v>
      </c>
      <c r="AA135" t="str">
        <v>50k to 100k</v>
      </c>
      <c r="AB135" s="57">
        <v>43458</v>
      </c>
      <c r="AC135">
        <v>1</v>
      </c>
      <c r="AD135" t="str">
        <v>Fixed Term</v>
      </c>
      <c r="AE135" t="str">
        <v>Hyderabad, India</v>
      </c>
      <c r="AF135">
        <v>5.4958904109589044</v>
      </c>
      <c r="AG135" t="str">
        <v>Full time</v>
      </c>
      <c r="AQ135" s="39"/>
    </row>
    <row r="136" spans="9:43" x14ac:dyDescent="0.25">
      <c r="I136" s="57"/>
      <c r="U136" t="str">
        <v>PR02113</v>
      </c>
      <c r="V136" t="str">
        <v>Beverie</v>
      </c>
      <c r="W136" t="str">
        <v>Moffet</v>
      </c>
      <c r="X136" t="str">
        <v>Female</v>
      </c>
      <c r="Y136" t="str">
        <v>Support</v>
      </c>
      <c r="Z136">
        <v>75974.990000000005</v>
      </c>
      <c r="AA136" t="str">
        <v>50k to 100k</v>
      </c>
      <c r="AB136" s="57">
        <v>44172</v>
      </c>
      <c r="AC136">
        <v>1</v>
      </c>
      <c r="AD136" t="str">
        <v>Permanent</v>
      </c>
      <c r="AE136" t="str">
        <v>Remote</v>
      </c>
      <c r="AF136">
        <v>3.5397260273972604</v>
      </c>
      <c r="AG136" t="str">
        <v>Full time</v>
      </c>
      <c r="AQ136" s="39"/>
    </row>
    <row r="137" spans="9:43" x14ac:dyDescent="0.25">
      <c r="I137" s="57"/>
      <c r="U137" t="str">
        <v>SQ03546</v>
      </c>
      <c r="V137" t="str">
        <v>Amlankusum</v>
      </c>
      <c r="W137" t="str">
        <v>Rajabhushan</v>
      </c>
      <c r="X137" t="str">
        <v>Female</v>
      </c>
      <c r="Y137" t="str">
        <v>Legal</v>
      </c>
      <c r="Z137">
        <v>75733.740000000005</v>
      </c>
      <c r="AA137" t="str">
        <v>50k to 100k</v>
      </c>
      <c r="AB137" s="57">
        <v>44382</v>
      </c>
      <c r="AC137">
        <v>1</v>
      </c>
      <c r="AD137" t="str">
        <v>Permanent</v>
      </c>
      <c r="AE137" t="str">
        <v>Hyderabad, India</v>
      </c>
      <c r="AF137">
        <v>2.9643835616438357</v>
      </c>
      <c r="AG137" t="str">
        <v>Full time</v>
      </c>
      <c r="AQ137" s="39"/>
    </row>
    <row r="138" spans="9:43" x14ac:dyDescent="0.25">
      <c r="I138" s="57"/>
      <c r="U138" t="str">
        <v>TN00182</v>
      </c>
      <c r="V138" t="str">
        <v>Camilla</v>
      </c>
      <c r="W138" t="str">
        <v>Castle</v>
      </c>
      <c r="X138" t="str">
        <v>Female</v>
      </c>
      <c r="Y138" t="str">
        <v>Product Management</v>
      </c>
      <c r="Z138">
        <v>75475.929999999993</v>
      </c>
      <c r="AA138" t="str">
        <v>50k to 100k</v>
      </c>
      <c r="AB138" s="57">
        <v>43794</v>
      </c>
      <c r="AC138">
        <v>1</v>
      </c>
      <c r="AD138" t="str">
        <v>Permanent</v>
      </c>
      <c r="AE138" t="str">
        <v>Remote</v>
      </c>
      <c r="AF138">
        <v>4.5753424657534243</v>
      </c>
      <c r="AG138" t="str">
        <v>Full time</v>
      </c>
      <c r="AQ138" s="39"/>
    </row>
    <row r="139" spans="9:43" x14ac:dyDescent="0.25">
      <c r="I139" s="57"/>
      <c r="U139" t="str">
        <v>SQ01026</v>
      </c>
      <c r="V139" t="str">
        <v>Anumati</v>
      </c>
      <c r="W139" t="str">
        <v>Shyamari</v>
      </c>
      <c r="X139" t="str">
        <v>Male</v>
      </c>
      <c r="Y139" t="str">
        <v>Product Management</v>
      </c>
      <c r="Z139">
        <v>74924.649999999994</v>
      </c>
      <c r="AA139" t="str">
        <v>50k to 100k</v>
      </c>
      <c r="AB139" s="57">
        <v>44239</v>
      </c>
      <c r="AC139">
        <v>1</v>
      </c>
      <c r="AD139" t="str">
        <v>Permanent</v>
      </c>
      <c r="AE139" t="str">
        <v>Hyderabad, India</v>
      </c>
      <c r="AF139">
        <v>3.3561643835616439</v>
      </c>
      <c r="AG139" t="str">
        <v>Full time</v>
      </c>
      <c r="AQ139" s="39"/>
    </row>
    <row r="140" spans="9:43" x14ac:dyDescent="0.25">
      <c r="I140" s="57"/>
      <c r="U140" t="str">
        <v>SQ00612</v>
      </c>
      <c r="V140" t="str">
        <v>Leena</v>
      </c>
      <c r="W140" t="str">
        <v>Bruckshaw</v>
      </c>
      <c r="X140" t="str">
        <v>Male</v>
      </c>
      <c r="Y140" t="str">
        <v>Research and Development</v>
      </c>
      <c r="Z140">
        <v>74279.009999999995</v>
      </c>
      <c r="AA140" t="str">
        <v>50k to 100k</v>
      </c>
      <c r="AB140" s="57">
        <v>43466</v>
      </c>
      <c r="AC140">
        <v>1</v>
      </c>
      <c r="AD140" t="str">
        <v>Permanent</v>
      </c>
      <c r="AE140" t="str">
        <v>Wellington, New Zealand</v>
      </c>
      <c r="AF140">
        <v>5.4739726027397264</v>
      </c>
      <c r="AG140" t="str">
        <v>Full time</v>
      </c>
      <c r="AQ140" s="39"/>
    </row>
    <row r="141" spans="9:43" x14ac:dyDescent="0.25">
      <c r="I141" s="57"/>
      <c r="U141" t="str">
        <v>TN04067</v>
      </c>
      <c r="V141" t="str">
        <v>Lea</v>
      </c>
      <c r="W141" t="str">
        <v>Chaplin</v>
      </c>
      <c r="X141" t="str">
        <v>Female</v>
      </c>
      <c r="Y141" t="str">
        <v>Human Resources</v>
      </c>
      <c r="Z141">
        <v>73488.679999999993</v>
      </c>
      <c r="AA141" t="str">
        <v>50k to 100k</v>
      </c>
      <c r="AB141" s="57">
        <v>43570</v>
      </c>
      <c r="AC141">
        <v>1</v>
      </c>
      <c r="AD141" t="str">
        <v>Fixed Term</v>
      </c>
      <c r="AE141" t="str">
        <v>Seattle, USA</v>
      </c>
      <c r="AF141">
        <v>5.1890410958904107</v>
      </c>
      <c r="AG141" t="str">
        <v>Full time</v>
      </c>
      <c r="AQ141" s="39"/>
    </row>
    <row r="142" spans="9:43" x14ac:dyDescent="0.25">
      <c r="I142" s="57"/>
      <c r="U142" t="str">
        <v>VT03537</v>
      </c>
      <c r="V142" t="str">
        <v>Renaldo</v>
      </c>
      <c r="W142" t="str">
        <v>Thomassin</v>
      </c>
      <c r="X142" t="str">
        <v>Male</v>
      </c>
      <c r="Y142" t="str">
        <v>Business Development</v>
      </c>
      <c r="Z142">
        <v>73360.38</v>
      </c>
      <c r="AA142" t="str">
        <v>50k to 100k</v>
      </c>
      <c r="AB142" s="57">
        <v>43972</v>
      </c>
      <c r="AC142">
        <v>1</v>
      </c>
      <c r="AD142" t="str">
        <v>Temporary</v>
      </c>
      <c r="AE142" t="str">
        <v>Remote</v>
      </c>
      <c r="AF142">
        <v>4.087671232876712</v>
      </c>
      <c r="AG142" t="str">
        <v>Full time</v>
      </c>
      <c r="AQ142" s="39"/>
    </row>
    <row r="143" spans="9:43" x14ac:dyDescent="0.25">
      <c r="I143" s="57"/>
      <c r="U143" t="str">
        <v>VT03537</v>
      </c>
      <c r="V143" t="str">
        <v>Renaldo</v>
      </c>
      <c r="W143" t="str">
        <v>Thomassin</v>
      </c>
      <c r="X143" t="str">
        <v>Male</v>
      </c>
      <c r="Y143" t="str">
        <v>Business Development</v>
      </c>
      <c r="Z143">
        <v>73360.38</v>
      </c>
      <c r="AA143" t="str">
        <v>50k to 100k</v>
      </c>
      <c r="AB143" s="57">
        <v>43972</v>
      </c>
      <c r="AC143">
        <v>1</v>
      </c>
      <c r="AD143" t="str">
        <v>Temporary</v>
      </c>
      <c r="AE143" t="str">
        <v>Remote</v>
      </c>
      <c r="AF143">
        <v>4.087671232876712</v>
      </c>
      <c r="AG143" t="str">
        <v>Full time</v>
      </c>
      <c r="AQ143" s="39"/>
    </row>
    <row r="144" spans="9:43" x14ac:dyDescent="0.25">
      <c r="I144" s="57"/>
      <c r="U144" t="str">
        <v>PR03532</v>
      </c>
      <c r="V144" t="str">
        <v>Crawford</v>
      </c>
      <c r="W144" t="str">
        <v>Scad</v>
      </c>
      <c r="X144" t="str">
        <v>Male</v>
      </c>
      <c r="Y144" t="str">
        <v>Human Resources</v>
      </c>
      <c r="Z144">
        <v>72876.91</v>
      </c>
      <c r="AA144" t="str">
        <v>50k to 100k</v>
      </c>
      <c r="AB144" s="57">
        <v>43837</v>
      </c>
      <c r="AC144">
        <v>1</v>
      </c>
      <c r="AD144" t="str">
        <v>Permanent</v>
      </c>
      <c r="AE144" t="str">
        <v>Remote</v>
      </c>
      <c r="AF144">
        <v>4.4575342465753423</v>
      </c>
      <c r="AG144" t="str">
        <v>Full time</v>
      </c>
      <c r="AQ144" s="39"/>
    </row>
    <row r="145" spans="9:43" x14ac:dyDescent="0.25">
      <c r="I145" s="57"/>
      <c r="U145" t="str">
        <v>TN03331</v>
      </c>
      <c r="V145" t="str">
        <v>Crawford</v>
      </c>
      <c r="W145" t="str">
        <v>Scad</v>
      </c>
      <c r="X145" t="str">
        <v>Male</v>
      </c>
      <c r="Y145" t="str">
        <v>Human Resources</v>
      </c>
      <c r="Z145">
        <v>72876.91</v>
      </c>
      <c r="AA145" t="str">
        <v>50k to 100k</v>
      </c>
      <c r="AB145" s="57">
        <v>43612</v>
      </c>
      <c r="AC145">
        <v>0.4</v>
      </c>
      <c r="AD145" t="str">
        <v>Fixed Term</v>
      </c>
      <c r="AE145" t="str">
        <v>Auckland, New Zealand</v>
      </c>
      <c r="AF145">
        <v>5.0739726027397261</v>
      </c>
      <c r="AG145" t="str">
        <v>Part time</v>
      </c>
      <c r="AQ145" s="39"/>
    </row>
    <row r="146" spans="9:43" x14ac:dyDescent="0.25">
      <c r="I146" s="57"/>
      <c r="U146" t="str">
        <v>TN04101</v>
      </c>
      <c r="V146" t="str">
        <v>Marline</v>
      </c>
      <c r="W146" t="str">
        <v>Wahncke</v>
      </c>
      <c r="X146" t="str">
        <v>Male</v>
      </c>
      <c r="Y146" t="str">
        <v>Legal</v>
      </c>
      <c r="Z146">
        <v>72843.23</v>
      </c>
      <c r="AA146" t="str">
        <v>50k to 100k</v>
      </c>
      <c r="AB146" s="57">
        <v>43280</v>
      </c>
      <c r="AC146">
        <v>1</v>
      </c>
      <c r="AD146" t="str">
        <v>Fixed Term</v>
      </c>
      <c r="AE146" t="str">
        <v>Wellington, New Zealand</v>
      </c>
      <c r="AF146">
        <v>5.9835616438356167</v>
      </c>
      <c r="AG146" t="str">
        <v>Full time</v>
      </c>
      <c r="AQ146" s="39"/>
    </row>
    <row r="147" spans="9:43" x14ac:dyDescent="0.25">
      <c r="I147" s="57"/>
      <c r="U147" t="str">
        <v>PR01383</v>
      </c>
      <c r="V147" t="str">
        <v>Addi</v>
      </c>
      <c r="W147" t="str">
        <v>Studdeard</v>
      </c>
      <c r="X147" t="str">
        <v>Female</v>
      </c>
      <c r="Y147" t="str">
        <v>Product Management</v>
      </c>
      <c r="Z147">
        <v>72502.61</v>
      </c>
      <c r="AA147" t="str">
        <v>50k to 100k</v>
      </c>
      <c r="AB147" s="57">
        <v>44235</v>
      </c>
      <c r="AC147">
        <v>1</v>
      </c>
      <c r="AD147" t="str">
        <v>Permanent</v>
      </c>
      <c r="AE147" t="str">
        <v>Wellington, New Zealand</v>
      </c>
      <c r="AF147">
        <v>3.3671232876712329</v>
      </c>
      <c r="AG147" t="str">
        <v>Full time</v>
      </c>
      <c r="AQ147" s="39"/>
    </row>
    <row r="148" spans="9:43" x14ac:dyDescent="0.25">
      <c r="I148" s="57"/>
      <c r="U148" t="str">
        <v>SQ04960</v>
      </c>
      <c r="V148" t="str">
        <v>Shubhra</v>
      </c>
      <c r="W148" t="str">
        <v>Potla</v>
      </c>
      <c r="X148" t="str">
        <v>Female</v>
      </c>
      <c r="Y148" t="str">
        <v>Support</v>
      </c>
      <c r="Z148">
        <v>71924.850000000006</v>
      </c>
      <c r="AA148" t="str">
        <v>50k to 100k</v>
      </c>
      <c r="AB148" s="57">
        <v>43822</v>
      </c>
      <c r="AC148">
        <v>1</v>
      </c>
      <c r="AD148" t="str">
        <v>Permanent</v>
      </c>
      <c r="AE148" t="str">
        <v>Chennai, India</v>
      </c>
      <c r="AF148">
        <v>4.4986301369863018</v>
      </c>
      <c r="AG148" t="str">
        <v>Full time</v>
      </c>
      <c r="AQ148" s="39"/>
    </row>
    <row r="149" spans="9:43" x14ac:dyDescent="0.25">
      <c r="I149" s="57"/>
      <c r="U149" t="str">
        <v>VT02374</v>
      </c>
      <c r="V149" t="str">
        <v>Delphine</v>
      </c>
      <c r="W149" t="str">
        <v>Jewis</v>
      </c>
      <c r="X149" t="str">
        <v>Female</v>
      </c>
      <c r="Y149" t="str">
        <v>Accounting</v>
      </c>
      <c r="Z149">
        <v>71823.56</v>
      </c>
      <c r="AA149" t="str">
        <v>50k to 100k</v>
      </c>
      <c r="AB149" s="57">
        <v>43374</v>
      </c>
      <c r="AC149">
        <v>0.3</v>
      </c>
      <c r="AD149" t="str">
        <v>Temporary</v>
      </c>
      <c r="AE149" t="str">
        <v>Remote</v>
      </c>
      <c r="AF149">
        <v>5.7260273972602738</v>
      </c>
      <c r="AG149" t="str">
        <v>Part time</v>
      </c>
      <c r="AQ149" s="39"/>
    </row>
    <row r="150" spans="9:43" x14ac:dyDescent="0.25">
      <c r="I150" s="57"/>
      <c r="U150" t="str">
        <v>VT02374</v>
      </c>
      <c r="V150" t="str">
        <v>Delphine</v>
      </c>
      <c r="W150" t="str">
        <v>Jewis</v>
      </c>
      <c r="X150" t="str">
        <v>Female</v>
      </c>
      <c r="Y150" t="str">
        <v>Accounting</v>
      </c>
      <c r="Z150">
        <v>71823.56</v>
      </c>
      <c r="AA150" t="str">
        <v>50k to 100k</v>
      </c>
      <c r="AB150" s="57">
        <v>43374</v>
      </c>
      <c r="AC150">
        <v>0.3</v>
      </c>
      <c r="AD150" t="str">
        <v>Temporary</v>
      </c>
      <c r="AE150" t="str">
        <v>Remote</v>
      </c>
      <c r="AF150">
        <v>5.7260273972602738</v>
      </c>
      <c r="AG150" t="str">
        <v>Part time</v>
      </c>
      <c r="AQ150" s="39"/>
    </row>
    <row r="151" spans="9:43" x14ac:dyDescent="0.25">
      <c r="I151" s="57"/>
      <c r="U151" t="str">
        <v>TN00890</v>
      </c>
      <c r="V151" t="str">
        <v>Mayur</v>
      </c>
      <c r="W151" t="str">
        <v>Kousika</v>
      </c>
      <c r="X151" t="str">
        <v>Female</v>
      </c>
      <c r="Y151" t="str">
        <v>Training</v>
      </c>
      <c r="Z151">
        <v>71570.990000000005</v>
      </c>
      <c r="AA151" t="str">
        <v>50k to 100k</v>
      </c>
      <c r="AB151" s="57">
        <v>44249</v>
      </c>
      <c r="AC151">
        <v>0.5</v>
      </c>
      <c r="AD151" t="str">
        <v>Permanent</v>
      </c>
      <c r="AE151" t="str">
        <v>Hyderabad, India</v>
      </c>
      <c r="AF151">
        <v>3.3287671232876712</v>
      </c>
      <c r="AG151" t="str">
        <v>Part time</v>
      </c>
      <c r="AQ151" s="39"/>
    </row>
    <row r="152" spans="9:43" x14ac:dyDescent="0.25">
      <c r="I152" s="57"/>
      <c r="U152" t="str">
        <v>SQ01697</v>
      </c>
      <c r="V152" t="str">
        <v>Makshi</v>
      </c>
      <c r="W152" t="str">
        <v>Vinutha</v>
      </c>
      <c r="X152" t="str">
        <v>Male</v>
      </c>
      <c r="Y152" t="str">
        <v>Business Development</v>
      </c>
      <c r="Z152">
        <v>71371.37</v>
      </c>
      <c r="AA152" t="str">
        <v>50k to 100k</v>
      </c>
      <c r="AB152" s="57">
        <v>43392</v>
      </c>
      <c r="AC152">
        <v>1</v>
      </c>
      <c r="AD152" t="str">
        <v>Permanent</v>
      </c>
      <c r="AE152" t="str">
        <v>Hyderabad, India</v>
      </c>
      <c r="AF152">
        <v>5.6767123287671231</v>
      </c>
      <c r="AG152" t="str">
        <v>Full time</v>
      </c>
      <c r="AQ152" s="39"/>
    </row>
    <row r="153" spans="9:43" x14ac:dyDescent="0.25">
      <c r="I153" s="57"/>
      <c r="U153" t="str">
        <v>SQ00187</v>
      </c>
      <c r="V153" t="str">
        <v>Rupak</v>
      </c>
      <c r="W153" t="str">
        <v>Mehra</v>
      </c>
      <c r="X153" t="str">
        <v>Female</v>
      </c>
      <c r="Y153" t="str">
        <v>Services</v>
      </c>
      <c r="Z153">
        <v>71229.42</v>
      </c>
      <c r="AA153" t="str">
        <v>50k to 100k</v>
      </c>
      <c r="AB153" s="57">
        <v>44166</v>
      </c>
      <c r="AC153">
        <v>1</v>
      </c>
      <c r="AD153" t="str">
        <v>Permanent</v>
      </c>
      <c r="AE153" t="str">
        <v>Hyderabad, India</v>
      </c>
      <c r="AF153">
        <v>3.5561643835616437</v>
      </c>
      <c r="AG153" t="str">
        <v>Full time</v>
      </c>
      <c r="AQ153" s="39"/>
    </row>
    <row r="154" spans="9:43" x14ac:dyDescent="0.25">
      <c r="I154" s="57"/>
      <c r="U154" t="str">
        <v>VT04467</v>
      </c>
      <c r="V154" t="str">
        <v>Amal</v>
      </c>
      <c r="W154" t="str">
        <v>Nimesh</v>
      </c>
      <c r="X154" t="str">
        <v>Female</v>
      </c>
      <c r="Y154" t="str">
        <v>Marketing</v>
      </c>
      <c r="Z154">
        <v>70755.5</v>
      </c>
      <c r="AA154" t="str">
        <v>50k to 100k</v>
      </c>
      <c r="AB154" s="57">
        <v>44090</v>
      </c>
      <c r="AC154">
        <v>0.8</v>
      </c>
      <c r="AD154" t="str">
        <v>Temporary</v>
      </c>
      <c r="AE154" t="str">
        <v>Hyderabad, India</v>
      </c>
      <c r="AF154">
        <v>3.7643835616438355</v>
      </c>
      <c r="AG154" t="str">
        <v>Part time</v>
      </c>
      <c r="AQ154" s="39"/>
    </row>
    <row r="155" spans="9:43" x14ac:dyDescent="0.25">
      <c r="I155" s="57"/>
      <c r="U155" t="str">
        <v>PR00095</v>
      </c>
      <c r="V155" t="str">
        <v>Devrat</v>
      </c>
      <c r="W155" t="str">
        <v>Damarsingh</v>
      </c>
      <c r="X155" t="str">
        <v>Female</v>
      </c>
      <c r="Y155" t="str">
        <v>Business Development</v>
      </c>
      <c r="Z155">
        <v>70649.460000000006</v>
      </c>
      <c r="AA155" t="str">
        <v>50k to 100k</v>
      </c>
      <c r="AB155" s="57">
        <v>43843</v>
      </c>
      <c r="AC155">
        <v>1</v>
      </c>
      <c r="AD155" t="str">
        <v>Permanent</v>
      </c>
      <c r="AE155" t="str">
        <v>Hyderabad, India</v>
      </c>
      <c r="AF155">
        <v>4.441095890410959</v>
      </c>
      <c r="AG155" t="str">
        <v>Full time</v>
      </c>
      <c r="AQ155" s="39"/>
    </row>
    <row r="156" spans="9:43" x14ac:dyDescent="0.25">
      <c r="I156" s="57"/>
      <c r="U156" t="str">
        <v>SQ04598</v>
      </c>
      <c r="V156" t="str">
        <v>Pearla</v>
      </c>
      <c r="W156" t="str">
        <v>Beteriss</v>
      </c>
      <c r="X156" t="str">
        <v>Male</v>
      </c>
      <c r="Y156" t="str">
        <v>Services</v>
      </c>
      <c r="Z156">
        <v>69913.39</v>
      </c>
      <c r="AA156" t="str">
        <v>50k to 100k</v>
      </c>
      <c r="AB156" s="57">
        <v>43584</v>
      </c>
      <c r="AC156">
        <v>1</v>
      </c>
      <c r="AD156" t="str">
        <v>Permanent</v>
      </c>
      <c r="AE156" t="str">
        <v>Remote</v>
      </c>
      <c r="AF156">
        <v>5.1506849315068495</v>
      </c>
      <c r="AG156" t="str">
        <v>Full time</v>
      </c>
      <c r="AQ156" s="39"/>
    </row>
    <row r="157" spans="9:43" x14ac:dyDescent="0.25">
      <c r="I157" s="57"/>
      <c r="U157" t="str">
        <v>SQ02371</v>
      </c>
      <c r="V157" t="str">
        <v>Alida</v>
      </c>
      <c r="W157" t="str">
        <v>Welman</v>
      </c>
      <c r="X157" t="str">
        <v>Male</v>
      </c>
      <c r="Y157" t="str">
        <v>Human Resources</v>
      </c>
      <c r="Z157">
        <v>69862.38</v>
      </c>
      <c r="AA157" t="str">
        <v>50k to 100k</v>
      </c>
      <c r="AB157" s="57">
        <v>43458</v>
      </c>
      <c r="AC157">
        <v>1</v>
      </c>
      <c r="AD157" t="str">
        <v>Permanent</v>
      </c>
      <c r="AE157" t="str">
        <v>Wellington, New Zealand</v>
      </c>
      <c r="AF157">
        <v>5.4958904109589044</v>
      </c>
      <c r="AG157" t="str">
        <v>Full time</v>
      </c>
      <c r="AQ157" s="39"/>
    </row>
    <row r="158" spans="9:43" x14ac:dyDescent="0.25">
      <c r="I158" s="57"/>
      <c r="U158" t="str">
        <v>TN04660</v>
      </c>
      <c r="V158" t="str">
        <v>Thedrick</v>
      </c>
      <c r="W158" t="str">
        <v>Bothwell</v>
      </c>
      <c r="X158" t="str">
        <v>Male</v>
      </c>
      <c r="Y158" t="str">
        <v>Business Development</v>
      </c>
      <c r="Z158">
        <v>69764.100000000006</v>
      </c>
      <c r="AA158" t="str">
        <v>50k to 100k</v>
      </c>
      <c r="AB158" s="57">
        <v>44195</v>
      </c>
      <c r="AC158">
        <v>1</v>
      </c>
      <c r="AD158" t="str">
        <v>Fixed Term</v>
      </c>
      <c r="AE158" t="str">
        <v>Seattle, USA</v>
      </c>
      <c r="AF158">
        <v>3.4767123287671233</v>
      </c>
      <c r="AG158" t="str">
        <v>Full time</v>
      </c>
      <c r="AQ158" s="39"/>
    </row>
    <row r="159" spans="9:43" x14ac:dyDescent="0.25">
      <c r="I159" s="57"/>
      <c r="U159" t="str">
        <v>TN02205</v>
      </c>
      <c r="V159" t="str">
        <v>Madhumati</v>
      </c>
      <c r="W159" t="str">
        <v>Gazala</v>
      </c>
      <c r="X159" t="str">
        <v>Male</v>
      </c>
      <c r="Y159" t="str">
        <v>Research and Development</v>
      </c>
      <c r="Z159">
        <v>69709.509999999995</v>
      </c>
      <c r="AA159" t="str">
        <v>50k to 100k</v>
      </c>
      <c r="AB159" s="57">
        <v>43472</v>
      </c>
      <c r="AC159">
        <v>1</v>
      </c>
      <c r="AD159" t="str">
        <v>Permanent</v>
      </c>
      <c r="AE159" t="str">
        <v>Hyderabad, India</v>
      </c>
      <c r="AF159">
        <v>5.4575342465753423</v>
      </c>
      <c r="AG159" t="str">
        <v>Full time</v>
      </c>
      <c r="AQ159" s="39"/>
    </row>
    <row r="160" spans="9:43" x14ac:dyDescent="0.25">
      <c r="I160" s="57"/>
      <c r="U160" t="str">
        <v>PR04473</v>
      </c>
      <c r="V160" t="str">
        <v>Wyn</v>
      </c>
      <c r="W160" t="str">
        <v>Treadger</v>
      </c>
      <c r="X160" t="str">
        <v>Female</v>
      </c>
      <c r="Y160" t="str">
        <v>Business Development</v>
      </c>
      <c r="Z160">
        <v>69192.850000000006</v>
      </c>
      <c r="AA160" t="str">
        <v>50k to 100k</v>
      </c>
      <c r="AB160" s="57">
        <v>44305</v>
      </c>
      <c r="AC160">
        <v>1</v>
      </c>
      <c r="AD160" t="str">
        <v>Permanent</v>
      </c>
      <c r="AE160" t="str">
        <v>Columbus, USA</v>
      </c>
      <c r="AF160">
        <v>3.1753424657534248</v>
      </c>
      <c r="AG160" t="str">
        <v>Full time</v>
      </c>
      <c r="AQ160" s="39"/>
    </row>
    <row r="161" spans="9:43" x14ac:dyDescent="0.25">
      <c r="I161" s="57"/>
      <c r="U161" t="str">
        <v>TN02570</v>
      </c>
      <c r="V161" t="str">
        <v>Grady</v>
      </c>
      <c r="W161" t="str">
        <v>Rochelle</v>
      </c>
      <c r="X161" t="str">
        <v>Female</v>
      </c>
      <c r="Y161" t="str">
        <v>Accounting</v>
      </c>
      <c r="Z161">
        <v>69163.39</v>
      </c>
      <c r="AA161" t="str">
        <v>50k to 100k</v>
      </c>
      <c r="AB161" s="57">
        <v>43397</v>
      </c>
      <c r="AC161">
        <v>1</v>
      </c>
      <c r="AD161" t="str">
        <v>Permanent</v>
      </c>
      <c r="AE161" t="str">
        <v>Remote</v>
      </c>
      <c r="AF161">
        <v>5.6630136986301371</v>
      </c>
      <c r="AG161" t="str">
        <v>Full time</v>
      </c>
      <c r="AQ161" s="39"/>
    </row>
    <row r="162" spans="9:43" x14ac:dyDescent="0.25">
      <c r="I162" s="57"/>
      <c r="U162" t="str">
        <v>TN02570</v>
      </c>
      <c r="V162" t="str">
        <v>Grady</v>
      </c>
      <c r="W162" t="str">
        <v>Rochelle</v>
      </c>
      <c r="X162" t="str">
        <v>Female</v>
      </c>
      <c r="Y162" t="str">
        <v>Accounting</v>
      </c>
      <c r="Z162">
        <v>69163.39</v>
      </c>
      <c r="AA162" t="str">
        <v>50k to 100k</v>
      </c>
      <c r="AB162" s="57">
        <v>43397</v>
      </c>
      <c r="AC162">
        <v>1</v>
      </c>
      <c r="AD162" t="str">
        <v>Permanent</v>
      </c>
      <c r="AE162" t="str">
        <v>Remote</v>
      </c>
      <c r="AF162">
        <v>5.6630136986301371</v>
      </c>
      <c r="AG162" t="str">
        <v>Full time</v>
      </c>
      <c r="AQ162" s="39"/>
    </row>
    <row r="163" spans="9:43" x14ac:dyDescent="0.25">
      <c r="I163" s="57"/>
      <c r="U163" t="str">
        <v>SQ03024</v>
      </c>
      <c r="V163" t="str">
        <v>Inge</v>
      </c>
      <c r="W163" t="str">
        <v>Creer</v>
      </c>
      <c r="X163" t="str">
        <v>Female</v>
      </c>
      <c r="Y163" t="str">
        <v>Services</v>
      </c>
      <c r="Z163">
        <v>69057.320000000007</v>
      </c>
      <c r="AA163" t="str">
        <v>50k to 100k</v>
      </c>
      <c r="AB163" s="57">
        <v>43390</v>
      </c>
      <c r="AC163">
        <v>1</v>
      </c>
      <c r="AD163" t="str">
        <v>Permanent</v>
      </c>
      <c r="AE163" t="str">
        <v>Wellington, New Zealand</v>
      </c>
      <c r="AF163">
        <v>5.6821917808219178</v>
      </c>
      <c r="AG163" t="str">
        <v>Full time</v>
      </c>
      <c r="AQ163" s="39"/>
    </row>
    <row r="164" spans="9:43" x14ac:dyDescent="0.25">
      <c r="I164" s="57"/>
      <c r="U164" t="str">
        <v>SQ03024</v>
      </c>
      <c r="V164" t="str">
        <v>Inge</v>
      </c>
      <c r="W164" t="str">
        <v>Creer</v>
      </c>
      <c r="X164" t="str">
        <v>Female</v>
      </c>
      <c r="Y164" t="str">
        <v>Services</v>
      </c>
      <c r="Z164">
        <v>69057.320000000007</v>
      </c>
      <c r="AA164" t="str">
        <v>50k to 100k</v>
      </c>
      <c r="AB164" s="57">
        <v>43390</v>
      </c>
      <c r="AC164">
        <v>1</v>
      </c>
      <c r="AD164" t="str">
        <v>Permanent</v>
      </c>
      <c r="AE164" t="str">
        <v>Wellington, New Zealand</v>
      </c>
      <c r="AF164">
        <v>5.6821917808219178</v>
      </c>
      <c r="AG164" t="str">
        <v>Full time</v>
      </c>
      <c r="AQ164" s="39"/>
    </row>
    <row r="165" spans="9:43" x14ac:dyDescent="0.25">
      <c r="I165" s="57"/>
      <c r="U165" t="str">
        <v>PR00419</v>
      </c>
      <c r="V165" t="str">
        <v>Billi</v>
      </c>
      <c r="W165" t="str">
        <v>Fellgate</v>
      </c>
      <c r="X165" t="str">
        <v>Female</v>
      </c>
      <c r="Y165" t="str">
        <v>Business Development</v>
      </c>
      <c r="Z165">
        <v>68980.52</v>
      </c>
      <c r="AA165" t="str">
        <v>50k to 100k</v>
      </c>
      <c r="AB165" s="57">
        <v>43494</v>
      </c>
      <c r="AC165">
        <v>0.8</v>
      </c>
      <c r="AD165" t="str">
        <v>Permanent</v>
      </c>
      <c r="AE165" t="str">
        <v>Remote</v>
      </c>
      <c r="AF165">
        <v>5.397260273972603</v>
      </c>
      <c r="AG165" t="str">
        <v>Part time</v>
      </c>
      <c r="AQ165" s="39"/>
    </row>
    <row r="166" spans="9:43" x14ac:dyDescent="0.25">
      <c r="I166" s="57"/>
      <c r="U166" t="str">
        <v>SQ03321</v>
      </c>
      <c r="V166" t="str">
        <v>Gradey</v>
      </c>
      <c r="W166" t="str">
        <v>Litton</v>
      </c>
      <c r="X166" t="str">
        <v>Female</v>
      </c>
      <c r="Y166" t="str">
        <v>Accounting</v>
      </c>
      <c r="Z166">
        <v>68887.839999999997</v>
      </c>
      <c r="AA166" t="str">
        <v>50k to 100k</v>
      </c>
      <c r="AB166" s="57">
        <v>43297</v>
      </c>
      <c r="AC166">
        <v>1</v>
      </c>
      <c r="AD166" t="str">
        <v>Permanent</v>
      </c>
      <c r="AE166" t="str">
        <v>Remote</v>
      </c>
      <c r="AF166">
        <v>5.9369863013698634</v>
      </c>
      <c r="AG166" t="str">
        <v>Full time</v>
      </c>
      <c r="AQ166" s="39"/>
    </row>
    <row r="167" spans="9:43" x14ac:dyDescent="0.25">
      <c r="I167" s="57"/>
      <c r="U167" t="str">
        <v>SQ01637</v>
      </c>
      <c r="V167" t="str">
        <v>Joaquin</v>
      </c>
      <c r="W167" t="str">
        <v>McVitty</v>
      </c>
      <c r="X167" t="str">
        <v>Male</v>
      </c>
      <c r="Y167" t="str">
        <v>Sales</v>
      </c>
      <c r="Z167">
        <v>68860.399999999994</v>
      </c>
      <c r="AA167" t="str">
        <v>50k to 100k</v>
      </c>
      <c r="AB167" s="57">
        <v>43508</v>
      </c>
      <c r="AC167">
        <v>0.4</v>
      </c>
      <c r="AD167" t="str">
        <v>Permanent</v>
      </c>
      <c r="AE167" t="str">
        <v>Columbus, USA</v>
      </c>
      <c r="AF167">
        <v>5.3589041095890408</v>
      </c>
      <c r="AG167" t="str">
        <v>Part time</v>
      </c>
      <c r="AQ167" s="39"/>
    </row>
    <row r="168" spans="9:43" x14ac:dyDescent="0.25">
      <c r="I168" s="57"/>
      <c r="U168" t="str">
        <v>TN01601</v>
      </c>
      <c r="V168" t="str">
        <v>Melva</v>
      </c>
      <c r="W168" t="str">
        <v>Jickells</v>
      </c>
      <c r="X168" t="str">
        <v>Female</v>
      </c>
      <c r="Y168" t="str">
        <v>Product Management</v>
      </c>
      <c r="Z168">
        <v>68795.48</v>
      </c>
      <c r="AA168" t="str">
        <v>50k to 100k</v>
      </c>
      <c r="AB168" s="57">
        <v>44277</v>
      </c>
      <c r="AC168">
        <v>0.2</v>
      </c>
      <c r="AD168" t="str">
        <v>Permanent</v>
      </c>
      <c r="AE168" t="str">
        <v>Remote</v>
      </c>
      <c r="AF168">
        <v>3.2520547945205478</v>
      </c>
      <c r="AG168" t="str">
        <v>Part time</v>
      </c>
      <c r="AQ168" s="39"/>
    </row>
    <row r="169" spans="9:43" x14ac:dyDescent="0.25">
      <c r="I169" s="57"/>
      <c r="U169" t="str">
        <v>TN01601</v>
      </c>
      <c r="V169" t="str">
        <v>Melva</v>
      </c>
      <c r="W169" t="str">
        <v>Jickells</v>
      </c>
      <c r="X169" t="str">
        <v>Female</v>
      </c>
      <c r="Y169" t="str">
        <v>Product Management</v>
      </c>
      <c r="Z169">
        <v>68795.48</v>
      </c>
      <c r="AA169" t="str">
        <v>50k to 100k</v>
      </c>
      <c r="AB169" s="57">
        <v>44277</v>
      </c>
      <c r="AC169">
        <v>0.2</v>
      </c>
      <c r="AD169" t="str">
        <v>Permanent</v>
      </c>
      <c r="AE169" t="str">
        <v>Remote</v>
      </c>
      <c r="AF169">
        <v>3.2520547945205478</v>
      </c>
      <c r="AG169" t="str">
        <v>Part time</v>
      </c>
      <c r="AQ169" s="39"/>
    </row>
    <row r="170" spans="9:43" x14ac:dyDescent="0.25">
      <c r="I170" s="57"/>
      <c r="U170" t="str">
        <v>TN00258</v>
      </c>
      <c r="V170" t="str">
        <v>Joyce</v>
      </c>
      <c r="W170" t="str">
        <v>Leyband</v>
      </c>
      <c r="X170" t="str">
        <v>Female</v>
      </c>
      <c r="Y170" t="str">
        <v>Product Management</v>
      </c>
      <c r="Z170">
        <v>68197.899999999994</v>
      </c>
      <c r="AA170" t="str">
        <v>50k to 100k</v>
      </c>
      <c r="AB170" s="57">
        <v>44119</v>
      </c>
      <c r="AC170">
        <v>1</v>
      </c>
      <c r="AD170" t="str">
        <v>Permanent</v>
      </c>
      <c r="AE170" t="str">
        <v>Auckland, New Zealand</v>
      </c>
      <c r="AF170">
        <v>3.6849315068493151</v>
      </c>
      <c r="AG170" t="str">
        <v>Full time</v>
      </c>
      <c r="AQ170" s="39"/>
    </row>
    <row r="171" spans="9:43" x14ac:dyDescent="0.25">
      <c r="I171" s="57"/>
      <c r="U171" t="str">
        <v>SQ01283</v>
      </c>
      <c r="V171" t="str">
        <v>Barr</v>
      </c>
      <c r="W171" t="str">
        <v>Faughny</v>
      </c>
      <c r="X171" t="str">
        <v>Female</v>
      </c>
      <c r="Y171" t="str">
        <v>Marketing</v>
      </c>
      <c r="Z171">
        <v>68008.55</v>
      </c>
      <c r="AA171" t="str">
        <v>50k to 100k</v>
      </c>
      <c r="AB171" s="57">
        <v>44062</v>
      </c>
      <c r="AC171">
        <v>1</v>
      </c>
      <c r="AD171" t="str">
        <v>Permanent</v>
      </c>
      <c r="AE171" t="str">
        <v>Auckland, New Zealand</v>
      </c>
      <c r="AF171">
        <v>3.8410958904109589</v>
      </c>
      <c r="AG171" t="str">
        <v>Full time</v>
      </c>
      <c r="AQ171" s="39"/>
    </row>
    <row r="172" spans="9:43" x14ac:dyDescent="0.25">
      <c r="I172" s="57"/>
      <c r="U172" t="str">
        <v>TN02496</v>
      </c>
      <c r="V172" t="str">
        <v>Ponnan</v>
      </c>
      <c r="W172" t="str">
        <v>Delhi</v>
      </c>
      <c r="X172" t="str">
        <v>Need to check</v>
      </c>
      <c r="Y172" t="str">
        <v>Human Resources</v>
      </c>
      <c r="Z172">
        <v>67957.899999999994</v>
      </c>
      <c r="AA172" t="str">
        <v>50k to 100k</v>
      </c>
      <c r="AB172" s="57">
        <v>43430</v>
      </c>
      <c r="AC172">
        <v>1</v>
      </c>
      <c r="AD172" t="str">
        <v>Permanent</v>
      </c>
      <c r="AE172" t="str">
        <v>Chennai, India</v>
      </c>
      <c r="AF172">
        <v>5.5726027397260278</v>
      </c>
      <c r="AG172" t="str">
        <v>Full time</v>
      </c>
      <c r="AQ172" s="39"/>
    </row>
    <row r="173" spans="9:43" x14ac:dyDescent="0.25">
      <c r="I173" s="57"/>
      <c r="U173" t="str">
        <v>PR00246</v>
      </c>
      <c r="V173" t="str">
        <v>Husein</v>
      </c>
      <c r="W173" t="str">
        <v>Augar</v>
      </c>
      <c r="X173" t="str">
        <v>Female</v>
      </c>
      <c r="Y173" t="str">
        <v>Marketing</v>
      </c>
      <c r="Z173">
        <v>67905.8</v>
      </c>
      <c r="AA173" t="str">
        <v>50k to 100k</v>
      </c>
      <c r="AB173" s="57">
        <v>44194</v>
      </c>
      <c r="AC173">
        <v>1</v>
      </c>
      <c r="AD173" t="str">
        <v>Permanent</v>
      </c>
      <c r="AE173" t="str">
        <v>Remote</v>
      </c>
      <c r="AF173">
        <v>3.4794520547945207</v>
      </c>
      <c r="AG173" t="str">
        <v>Full time</v>
      </c>
      <c r="AQ173" s="39"/>
    </row>
    <row r="174" spans="9:43" x14ac:dyDescent="0.25">
      <c r="I174" s="57"/>
      <c r="U174" t="str">
        <v>TN03169</v>
      </c>
      <c r="V174" t="str">
        <v>Doe</v>
      </c>
      <c r="W174" t="str">
        <v>Clubley</v>
      </c>
      <c r="X174" t="str">
        <v>Female</v>
      </c>
      <c r="Y174" t="str">
        <v>Product Management</v>
      </c>
      <c r="Z174">
        <v>67818.14</v>
      </c>
      <c r="AA174" t="str">
        <v>50k to 100k</v>
      </c>
      <c r="AB174" s="57">
        <v>43406</v>
      </c>
      <c r="AC174">
        <v>0.6</v>
      </c>
      <c r="AD174" t="str">
        <v>Fixed Term</v>
      </c>
      <c r="AE174" t="str">
        <v>Remote</v>
      </c>
      <c r="AF174">
        <v>5.6383561643835618</v>
      </c>
      <c r="AG174" t="str">
        <v>Part time</v>
      </c>
      <c r="AQ174" s="39"/>
    </row>
    <row r="175" spans="9:43" x14ac:dyDescent="0.25">
      <c r="I175" s="57"/>
      <c r="U175" t="str">
        <v>TN03169</v>
      </c>
      <c r="V175" t="str">
        <v>Doe</v>
      </c>
      <c r="W175" t="str">
        <v>Clubley</v>
      </c>
      <c r="X175" t="str">
        <v>Female</v>
      </c>
      <c r="Y175" t="str">
        <v>Product Management</v>
      </c>
      <c r="Z175">
        <v>67818.14</v>
      </c>
      <c r="AA175" t="str">
        <v>50k to 100k</v>
      </c>
      <c r="AB175" s="57">
        <v>43406</v>
      </c>
      <c r="AC175">
        <v>0.6</v>
      </c>
      <c r="AD175" t="str">
        <v>Fixed Term</v>
      </c>
      <c r="AE175" t="str">
        <v>Remote</v>
      </c>
      <c r="AF175">
        <v>5.6383561643835618</v>
      </c>
      <c r="AG175" t="str">
        <v>Part time</v>
      </c>
      <c r="AQ175" s="39"/>
    </row>
    <row r="176" spans="9:43" x14ac:dyDescent="0.25">
      <c r="I176" s="57"/>
      <c r="U176" t="str">
        <v>TN01028</v>
      </c>
      <c r="V176" t="str">
        <v>Alicea</v>
      </c>
      <c r="W176" t="str">
        <v>Pudsall</v>
      </c>
      <c r="X176" t="str">
        <v>Male</v>
      </c>
      <c r="Y176" t="str">
        <v>Accounting</v>
      </c>
      <c r="Z176">
        <v>67633.850000000006</v>
      </c>
      <c r="AA176" t="str">
        <v>50k to 100k</v>
      </c>
      <c r="AB176" s="57">
        <v>43340</v>
      </c>
      <c r="AC176">
        <v>1</v>
      </c>
      <c r="AD176" t="str">
        <v>Permanent</v>
      </c>
      <c r="AE176" t="str">
        <v>Columbus, USA</v>
      </c>
      <c r="AF176">
        <v>5.8191780821917805</v>
      </c>
      <c r="AG176" t="str">
        <v>Full time</v>
      </c>
      <c r="AQ176" s="39"/>
    </row>
    <row r="177" spans="9:43" x14ac:dyDescent="0.25">
      <c r="I177" s="57"/>
      <c r="U177" t="str">
        <v>SQ03350</v>
      </c>
      <c r="V177" t="str">
        <v>Felice</v>
      </c>
      <c r="W177" t="str">
        <v>McMurty</v>
      </c>
      <c r="X177" t="str">
        <v>Female</v>
      </c>
      <c r="Y177" t="str">
        <v>Product Management</v>
      </c>
      <c r="Z177">
        <v>66865.490000000005</v>
      </c>
      <c r="AA177" t="str">
        <v>50k to 100k</v>
      </c>
      <c r="AB177" s="57">
        <v>43514</v>
      </c>
      <c r="AC177">
        <v>1</v>
      </c>
      <c r="AD177" t="str">
        <v>Permanent</v>
      </c>
      <c r="AE177" t="str">
        <v>Seattle, USA</v>
      </c>
      <c r="AF177">
        <v>5.3424657534246576</v>
      </c>
      <c r="AG177" t="str">
        <v>Full time</v>
      </c>
      <c r="AQ177" s="39"/>
    </row>
    <row r="178" spans="9:43" x14ac:dyDescent="0.25">
      <c r="I178" s="57"/>
      <c r="U178" t="str">
        <v>SQ03350</v>
      </c>
      <c r="V178" t="str">
        <v>Felice</v>
      </c>
      <c r="W178" t="str">
        <v>McMurty</v>
      </c>
      <c r="X178" t="str">
        <v>Female</v>
      </c>
      <c r="Y178" t="str">
        <v>Product Management</v>
      </c>
      <c r="Z178">
        <v>66865.490000000005</v>
      </c>
      <c r="AA178" t="str">
        <v>50k to 100k</v>
      </c>
      <c r="AB178" s="57">
        <v>43514</v>
      </c>
      <c r="AC178">
        <v>1</v>
      </c>
      <c r="AD178" t="str">
        <v>Permanent</v>
      </c>
      <c r="AE178" t="str">
        <v>Seattle, USA</v>
      </c>
      <c r="AF178">
        <v>5.3424657534246576</v>
      </c>
      <c r="AG178" t="str">
        <v>Full time</v>
      </c>
      <c r="AQ178" s="39"/>
    </row>
    <row r="179" spans="9:43" x14ac:dyDescent="0.25">
      <c r="I179" s="57"/>
      <c r="U179" t="str">
        <v>PR03804</v>
      </c>
      <c r="V179" t="str">
        <v>Pratigya</v>
      </c>
      <c r="W179" t="str">
        <v>Rema</v>
      </c>
      <c r="X179" t="str">
        <v>Male</v>
      </c>
      <c r="Y179" t="str">
        <v>Legal</v>
      </c>
      <c r="Z179">
        <v>66572.58</v>
      </c>
      <c r="AA179" t="str">
        <v>50k to 100k</v>
      </c>
      <c r="AB179" s="57">
        <v>44193</v>
      </c>
      <c r="AC179">
        <v>1</v>
      </c>
      <c r="AD179" t="str">
        <v>Permanent</v>
      </c>
      <c r="AE179" t="str">
        <v>Chennai, India</v>
      </c>
      <c r="AF179">
        <v>3.4821917808219176</v>
      </c>
      <c r="AG179" t="str">
        <v>Full time</v>
      </c>
      <c r="AQ179" s="39"/>
    </row>
    <row r="180" spans="9:43" x14ac:dyDescent="0.25">
      <c r="I180" s="57"/>
      <c r="U180" t="str">
        <v>PR03804</v>
      </c>
      <c r="V180" t="str">
        <v>Sartaj</v>
      </c>
      <c r="W180" t="str">
        <v>Probal</v>
      </c>
      <c r="X180" t="str">
        <v>Male</v>
      </c>
      <c r="Y180" t="str">
        <v>Legal</v>
      </c>
      <c r="Z180">
        <v>66572.58</v>
      </c>
      <c r="AA180" t="str">
        <v>50k to 100k</v>
      </c>
      <c r="AB180" s="57">
        <v>44193</v>
      </c>
      <c r="AC180">
        <v>1</v>
      </c>
      <c r="AD180" t="str">
        <v>Permanent</v>
      </c>
      <c r="AE180" t="str">
        <v>Chennai, India</v>
      </c>
      <c r="AF180">
        <v>3.4821917808219176</v>
      </c>
      <c r="AG180" t="str">
        <v>Full time</v>
      </c>
      <c r="AQ180" s="39"/>
    </row>
    <row r="181" spans="9:43" x14ac:dyDescent="0.25">
      <c r="I181" s="57"/>
      <c r="U181" t="str">
        <v>SQ01854</v>
      </c>
      <c r="V181" t="str">
        <v>Jessica</v>
      </c>
      <c r="W181" t="str">
        <v>Callcott</v>
      </c>
      <c r="X181" t="str">
        <v>Female</v>
      </c>
      <c r="Y181" t="str">
        <v>Marketing</v>
      </c>
      <c r="Z181">
        <v>66017.179999999993</v>
      </c>
      <c r="AA181" t="str">
        <v>50k to 100k</v>
      </c>
      <c r="AB181" s="57">
        <v>43643</v>
      </c>
      <c r="AC181">
        <v>0.9</v>
      </c>
      <c r="AD181" t="str">
        <v>Permanent</v>
      </c>
      <c r="AE181" t="str">
        <v>Remote</v>
      </c>
      <c r="AF181">
        <v>4.9890410958904106</v>
      </c>
      <c r="AG181" t="str">
        <v>Part time</v>
      </c>
      <c r="AQ181" s="39"/>
    </row>
    <row r="182" spans="9:43" x14ac:dyDescent="0.25">
      <c r="I182" s="57"/>
      <c r="U182" t="str">
        <v>PR03980</v>
      </c>
      <c r="V182" t="str">
        <v>Kath</v>
      </c>
      <c r="W182" t="str">
        <v>Bletsoe</v>
      </c>
      <c r="X182" t="str">
        <v>Male</v>
      </c>
      <c r="Y182" t="str">
        <v>Marketing</v>
      </c>
      <c r="Z182">
        <v>65699.02</v>
      </c>
      <c r="AA182" t="str">
        <v>50k to 100k</v>
      </c>
      <c r="AB182" s="57">
        <v>43951</v>
      </c>
      <c r="AC182">
        <v>1</v>
      </c>
      <c r="AD182" t="str">
        <v>Permanent</v>
      </c>
      <c r="AE182" t="str">
        <v>Columbus, USA</v>
      </c>
      <c r="AF182">
        <v>4.1452054794520548</v>
      </c>
      <c r="AG182" t="str">
        <v>Full time</v>
      </c>
      <c r="AQ182" s="39"/>
    </row>
    <row r="183" spans="9:43" x14ac:dyDescent="0.25">
      <c r="I183" s="57"/>
      <c r="U183" t="str">
        <v>VT01996</v>
      </c>
      <c r="V183" t="str">
        <v>Hali</v>
      </c>
      <c r="W183" t="str">
        <v>Behnecke</v>
      </c>
      <c r="X183" t="str">
        <v>Male</v>
      </c>
      <c r="Y183" t="str">
        <v>Human Resources</v>
      </c>
      <c r="Z183">
        <v>65569.36</v>
      </c>
      <c r="AA183" t="str">
        <v>50k to 100k</v>
      </c>
      <c r="AB183" s="57">
        <v>43293</v>
      </c>
      <c r="AC183">
        <v>1</v>
      </c>
      <c r="AD183" t="str">
        <v>Fixed Term</v>
      </c>
      <c r="AE183" t="str">
        <v>Auckland, New Zealand</v>
      </c>
      <c r="AF183">
        <v>5.9479452054794519</v>
      </c>
      <c r="AG183" t="str">
        <v>Full time</v>
      </c>
      <c r="AQ183" s="39"/>
    </row>
    <row r="184" spans="9:43" x14ac:dyDescent="0.25">
      <c r="I184" s="57"/>
      <c r="U184" t="str">
        <v>PR00576</v>
      </c>
      <c r="V184" t="str">
        <v>Lalitchandra</v>
      </c>
      <c r="W184" t="str">
        <v>Vadali</v>
      </c>
      <c r="X184" t="str">
        <v>Female</v>
      </c>
      <c r="Y184" t="str">
        <v>Legal</v>
      </c>
      <c r="Z184">
        <v>63705.4</v>
      </c>
      <c r="AA184" t="str">
        <v>50k to 100k</v>
      </c>
      <c r="AB184" s="57">
        <v>43682</v>
      </c>
      <c r="AC184">
        <v>1</v>
      </c>
      <c r="AD184" t="str">
        <v>Permanent</v>
      </c>
      <c r="AE184" t="str">
        <v>Hyderabad, India</v>
      </c>
      <c r="AF184">
        <v>4.882191780821918</v>
      </c>
      <c r="AG184" t="str">
        <v>Full time</v>
      </c>
      <c r="AQ184" s="39"/>
    </row>
    <row r="185" spans="9:43" x14ac:dyDescent="0.25">
      <c r="I185" s="57"/>
      <c r="U185" t="str">
        <v>TN00227</v>
      </c>
      <c r="V185" t="str">
        <v>Raghuveer</v>
      </c>
      <c r="W185" t="str">
        <v>Yettugunna</v>
      </c>
      <c r="X185" t="str">
        <v>Female</v>
      </c>
      <c r="Y185" t="str">
        <v>Support</v>
      </c>
      <c r="Z185">
        <v>63555.73</v>
      </c>
      <c r="AA185" t="str">
        <v>50k to 100k</v>
      </c>
      <c r="AB185" s="57">
        <v>44159</v>
      </c>
      <c r="AC185">
        <v>1</v>
      </c>
      <c r="AD185" t="str">
        <v>Permanent</v>
      </c>
      <c r="AE185" t="str">
        <v>Chennai, India</v>
      </c>
      <c r="AF185">
        <v>3.5753424657534247</v>
      </c>
      <c r="AG185" t="str">
        <v>Full time</v>
      </c>
      <c r="AQ185" s="39"/>
    </row>
    <row r="186" spans="9:43" x14ac:dyDescent="0.25">
      <c r="I186" s="57"/>
      <c r="U186" t="str">
        <v>VT03704</v>
      </c>
      <c r="V186" t="str">
        <v>Egor</v>
      </c>
      <c r="W186" t="str">
        <v>Minto</v>
      </c>
      <c r="X186" t="str">
        <v>Need to check</v>
      </c>
      <c r="Y186" t="str">
        <v>Legal</v>
      </c>
      <c r="Z186">
        <v>63447.07</v>
      </c>
      <c r="AA186" t="str">
        <v>50k to 100k</v>
      </c>
      <c r="AB186" s="57">
        <v>44148</v>
      </c>
      <c r="AC186">
        <v>1</v>
      </c>
      <c r="AD186" t="str">
        <v>Temporary</v>
      </c>
      <c r="AE186" t="str">
        <v>Wellington, New Zealand</v>
      </c>
      <c r="AF186">
        <v>3.6054794520547944</v>
      </c>
      <c r="AG186" t="str">
        <v>Full time</v>
      </c>
      <c r="AQ186" s="39"/>
    </row>
    <row r="187" spans="9:43" x14ac:dyDescent="0.25">
      <c r="I187" s="57"/>
      <c r="U187" t="str">
        <v>SQ00070</v>
      </c>
      <c r="V187" t="str">
        <v>Larissa</v>
      </c>
      <c r="W187" t="str">
        <v>Ingledow</v>
      </c>
      <c r="X187" t="str">
        <v>Male</v>
      </c>
      <c r="Y187" t="str">
        <v>Research and Development</v>
      </c>
      <c r="Z187">
        <v>62281.24</v>
      </c>
      <c r="AA187" t="str">
        <v>50k to 100k</v>
      </c>
      <c r="AB187" s="57">
        <v>43272</v>
      </c>
      <c r="AC187">
        <v>1</v>
      </c>
      <c r="AD187" t="str">
        <v>Permanent</v>
      </c>
      <c r="AE187" t="str">
        <v>Remote</v>
      </c>
      <c r="AF187">
        <v>6.0054794520547947</v>
      </c>
      <c r="AG187" t="str">
        <v>Full time</v>
      </c>
    </row>
    <row r="188" spans="9:43" x14ac:dyDescent="0.25">
      <c r="I188" s="57"/>
      <c r="U188" t="str">
        <v>PR03445</v>
      </c>
      <c r="V188" t="str">
        <v>Myrle</v>
      </c>
      <c r="W188" t="str">
        <v>Prandoni</v>
      </c>
      <c r="X188" t="str">
        <v>Male</v>
      </c>
      <c r="Y188" t="str">
        <v>Sales</v>
      </c>
      <c r="Z188">
        <v>62195.47</v>
      </c>
      <c r="AA188" t="str">
        <v>50k to 100k</v>
      </c>
      <c r="AB188" s="57">
        <v>44434</v>
      </c>
      <c r="AC188">
        <v>1</v>
      </c>
      <c r="AD188" t="str">
        <v>Permanent</v>
      </c>
      <c r="AE188" t="str">
        <v>Remote</v>
      </c>
      <c r="AF188">
        <v>2.8219178082191783</v>
      </c>
      <c r="AG188" t="str">
        <v>Full time</v>
      </c>
    </row>
    <row r="189" spans="9:43" x14ac:dyDescent="0.25">
      <c r="I189" s="57"/>
      <c r="U189" t="str">
        <v>PR02603</v>
      </c>
      <c r="V189" t="str">
        <v>Dinanath</v>
      </c>
      <c r="W189" t="str">
        <v>Simhambhatla</v>
      </c>
      <c r="X189" t="str">
        <v>Female</v>
      </c>
      <c r="Y189" t="str">
        <v>Human Resources</v>
      </c>
      <c r="Z189">
        <v>61994.76</v>
      </c>
      <c r="AA189" t="str">
        <v>50k to 100k</v>
      </c>
      <c r="AB189" s="57">
        <v>43794</v>
      </c>
      <c r="AC189">
        <v>0.3</v>
      </c>
      <c r="AD189" t="str">
        <v>Permanent</v>
      </c>
      <c r="AE189" t="str">
        <v>Hyderabad, India</v>
      </c>
      <c r="AF189">
        <v>4.5753424657534243</v>
      </c>
      <c r="AG189" t="str">
        <v>Part time</v>
      </c>
    </row>
    <row r="190" spans="9:43" x14ac:dyDescent="0.25">
      <c r="I190" s="57"/>
      <c r="U190" t="str">
        <v>TN00083</v>
      </c>
      <c r="V190" t="str">
        <v>Chandana</v>
      </c>
      <c r="W190" t="str">
        <v>Sannidhi</v>
      </c>
      <c r="X190" t="str">
        <v>Female</v>
      </c>
      <c r="Y190" t="str">
        <v>Business Development</v>
      </c>
      <c r="Z190">
        <v>61688.77</v>
      </c>
      <c r="AA190" t="str">
        <v>50k to 100k</v>
      </c>
      <c r="AB190" s="57">
        <v>43346</v>
      </c>
      <c r="AC190">
        <v>0.9</v>
      </c>
      <c r="AD190" t="str">
        <v>Permanent</v>
      </c>
      <c r="AE190" t="str">
        <v>Chennai, India</v>
      </c>
      <c r="AF190">
        <v>5.8027397260273972</v>
      </c>
      <c r="AG190" t="str">
        <v>Part time</v>
      </c>
    </row>
    <row r="191" spans="9:43" x14ac:dyDescent="0.25">
      <c r="I191" s="57"/>
      <c r="U191" t="str">
        <v>VT01703</v>
      </c>
      <c r="V191" t="str">
        <v>Upendra</v>
      </c>
      <c r="W191" t="str">
        <v>Swati</v>
      </c>
      <c r="X191" t="str">
        <v>Male</v>
      </c>
      <c r="Y191" t="str">
        <v>Engineering</v>
      </c>
      <c r="Z191">
        <v>61624.77</v>
      </c>
      <c r="AA191" t="str">
        <v>50k to 100k</v>
      </c>
      <c r="AB191" s="57">
        <v>43430</v>
      </c>
      <c r="AC191">
        <v>0.3</v>
      </c>
      <c r="AD191" t="str">
        <v>Fixed Term</v>
      </c>
      <c r="AE191" t="str">
        <v>Hyderabad, India</v>
      </c>
      <c r="AF191">
        <v>5.5726027397260278</v>
      </c>
      <c r="AG191" t="str">
        <v>Part time</v>
      </c>
    </row>
    <row r="192" spans="9:43" x14ac:dyDescent="0.25">
      <c r="I192" s="57"/>
      <c r="U192" t="str">
        <v>VT02417</v>
      </c>
      <c r="V192" t="str">
        <v>Evangelina</v>
      </c>
      <c r="W192" t="str">
        <v>Lergan</v>
      </c>
      <c r="X192" t="str">
        <v>Male</v>
      </c>
      <c r="Y192" t="str">
        <v>Support</v>
      </c>
      <c r="Z192">
        <v>61214.26</v>
      </c>
      <c r="AA192" t="str">
        <v>50k to 100k</v>
      </c>
      <c r="AB192" s="57">
        <v>43171</v>
      </c>
      <c r="AC192">
        <v>1</v>
      </c>
      <c r="AD192" t="str">
        <v>Temporary</v>
      </c>
      <c r="AE192" t="str">
        <v>Auckland, New Zealand</v>
      </c>
      <c r="AF192">
        <v>6.2821917808219174</v>
      </c>
      <c r="AG192" t="str">
        <v>Full time</v>
      </c>
    </row>
    <row r="193" spans="9:33" x14ac:dyDescent="0.25">
      <c r="I193" s="57"/>
      <c r="U193" t="str">
        <v>SQ00286</v>
      </c>
      <c r="V193" t="str">
        <v>Ilesh</v>
      </c>
      <c r="W193" t="str">
        <v>Dasgupta</v>
      </c>
      <c r="X193" t="str">
        <v>Female</v>
      </c>
      <c r="Y193" t="str">
        <v>Legal</v>
      </c>
      <c r="Z193">
        <v>61213.01</v>
      </c>
      <c r="AA193" t="str">
        <v>50k to 100k</v>
      </c>
      <c r="AB193" s="57">
        <v>44365</v>
      </c>
      <c r="AC193">
        <v>1</v>
      </c>
      <c r="AD193" t="str">
        <v>Permanent</v>
      </c>
      <c r="AE193" t="str">
        <v>Chennai, India</v>
      </c>
      <c r="AF193">
        <v>3.010958904109589</v>
      </c>
      <c r="AG193" t="str">
        <v>Full time</v>
      </c>
    </row>
    <row r="194" spans="9:33" x14ac:dyDescent="0.25">
      <c r="I194" s="57"/>
      <c r="U194" t="str">
        <v>VT02260</v>
      </c>
      <c r="V194" t="str">
        <v>Rhiamon</v>
      </c>
      <c r="W194" t="str">
        <v>Mollison</v>
      </c>
      <c r="X194" t="str">
        <v>Female</v>
      </c>
      <c r="Y194" t="str">
        <v>Research and Development</v>
      </c>
      <c r="Z194">
        <v>59434.18</v>
      </c>
      <c r="AA194" t="str">
        <v>50k to 100k</v>
      </c>
      <c r="AB194" s="57">
        <v>43931</v>
      </c>
      <c r="AC194">
        <v>1</v>
      </c>
      <c r="AD194" t="str">
        <v>Temporary</v>
      </c>
      <c r="AE194" t="str">
        <v>Seattle, USA</v>
      </c>
      <c r="AF194">
        <v>4.2</v>
      </c>
      <c r="AG194" t="str">
        <v>Full time</v>
      </c>
    </row>
    <row r="195" spans="9:33" x14ac:dyDescent="0.25">
      <c r="I195" s="57"/>
      <c r="U195" t="str">
        <v>TN00735</v>
      </c>
      <c r="V195" t="str">
        <v>Caresa</v>
      </c>
      <c r="W195" t="str">
        <v>Christer</v>
      </c>
      <c r="X195" t="str">
        <v>Male</v>
      </c>
      <c r="Y195" t="str">
        <v>Support</v>
      </c>
      <c r="Z195">
        <v>59258.19</v>
      </c>
      <c r="AA195" t="str">
        <v>50k to 100k</v>
      </c>
      <c r="AB195" s="57">
        <v>43452</v>
      </c>
      <c r="AC195">
        <v>0.8</v>
      </c>
      <c r="AD195" t="str">
        <v>Permanent</v>
      </c>
      <c r="AE195" t="str">
        <v>Seattle, USA</v>
      </c>
      <c r="AF195">
        <v>5.5123287671232877</v>
      </c>
      <c r="AG195" t="str">
        <v>Part time</v>
      </c>
    </row>
    <row r="196" spans="9:33" x14ac:dyDescent="0.25">
      <c r="I196" s="57"/>
      <c r="U196" t="str">
        <v>TN00735</v>
      </c>
      <c r="V196" t="str">
        <v>Caresa</v>
      </c>
      <c r="W196" t="str">
        <v>Christer</v>
      </c>
      <c r="X196" t="str">
        <v>Male</v>
      </c>
      <c r="Y196" t="str">
        <v>Support</v>
      </c>
      <c r="Z196">
        <v>59258.19</v>
      </c>
      <c r="AA196" t="str">
        <v>50k to 100k</v>
      </c>
      <c r="AB196" s="57">
        <v>43452</v>
      </c>
      <c r="AC196">
        <v>0.8</v>
      </c>
      <c r="AD196" t="str">
        <v>Permanent</v>
      </c>
      <c r="AE196" t="str">
        <v>Seattle, USA</v>
      </c>
      <c r="AF196">
        <v>5.5123287671232877</v>
      </c>
      <c r="AG196" t="str">
        <v>Part time</v>
      </c>
    </row>
    <row r="197" spans="9:33" x14ac:dyDescent="0.25">
      <c r="I197" s="57"/>
      <c r="U197" t="str">
        <v>VT03988</v>
      </c>
      <c r="V197" t="str">
        <v>Venkat</v>
      </c>
      <c r="W197" t="str">
        <v>Kodi</v>
      </c>
      <c r="X197" t="str">
        <v>Female</v>
      </c>
      <c r="Y197" t="str">
        <v>Support</v>
      </c>
      <c r="Z197">
        <v>58935.92</v>
      </c>
      <c r="AA197" t="str">
        <v>50k to 100k</v>
      </c>
      <c r="AB197" s="57">
        <v>43717</v>
      </c>
      <c r="AC197">
        <v>1</v>
      </c>
      <c r="AD197" t="str">
        <v>Temporary</v>
      </c>
      <c r="AE197" t="str">
        <v>Hyderabad, India</v>
      </c>
      <c r="AF197">
        <v>4.7863013698630139</v>
      </c>
      <c r="AG197" t="str">
        <v>Full time</v>
      </c>
    </row>
    <row r="198" spans="9:33" x14ac:dyDescent="0.25">
      <c r="I198" s="57"/>
      <c r="U198" t="str">
        <v>PR02016</v>
      </c>
      <c r="V198" t="str">
        <v>Iris</v>
      </c>
      <c r="W198" t="str">
        <v>Wagg</v>
      </c>
      <c r="X198" t="str">
        <v>Female</v>
      </c>
      <c r="Y198" t="str">
        <v>Engineering</v>
      </c>
      <c r="Z198">
        <v>58861.19</v>
      </c>
      <c r="AA198" t="str">
        <v>50k to 100k</v>
      </c>
      <c r="AB198" s="57">
        <v>43654</v>
      </c>
      <c r="AC198">
        <v>1</v>
      </c>
      <c r="AD198" t="str">
        <v>Permanent</v>
      </c>
      <c r="AE198" t="str">
        <v>Columbus, USA</v>
      </c>
      <c r="AF198">
        <v>4.9589041095890414</v>
      </c>
      <c r="AG198" t="str">
        <v>Full time</v>
      </c>
    </row>
    <row r="199" spans="9:33" x14ac:dyDescent="0.25">
      <c r="I199" s="57"/>
      <c r="U199" t="str">
        <v>VT04415</v>
      </c>
      <c r="V199" t="str">
        <v>Malory</v>
      </c>
      <c r="W199" t="str">
        <v>Biles</v>
      </c>
      <c r="X199" t="str">
        <v>Female</v>
      </c>
      <c r="Y199" t="str">
        <v>Training</v>
      </c>
      <c r="Z199">
        <v>58744.17</v>
      </c>
      <c r="AA199" t="str">
        <v>50k to 100k</v>
      </c>
      <c r="AB199" s="57">
        <v>43171</v>
      </c>
      <c r="AC199">
        <v>1</v>
      </c>
      <c r="AD199" t="str">
        <v>Temporary</v>
      </c>
      <c r="AE199" t="str">
        <v>Columbus, USA</v>
      </c>
      <c r="AF199">
        <v>6.2821917808219174</v>
      </c>
      <c r="AG199" t="str">
        <v>Full time</v>
      </c>
    </row>
    <row r="200" spans="9:33" x14ac:dyDescent="0.25">
      <c r="I200" s="57"/>
      <c r="U200" t="str">
        <v>TN01701</v>
      </c>
      <c r="V200" t="str">
        <v>Yves</v>
      </c>
      <c r="W200" t="str">
        <v>Pawlik</v>
      </c>
      <c r="X200" t="str">
        <v>Male</v>
      </c>
      <c r="Y200" t="str">
        <v>Accounting</v>
      </c>
      <c r="Z200">
        <v>57925.91</v>
      </c>
      <c r="AA200" t="str">
        <v>50k to 100k</v>
      </c>
      <c r="AB200" s="57">
        <v>43572</v>
      </c>
      <c r="AC200">
        <v>0.5</v>
      </c>
      <c r="AD200" t="str">
        <v>Permanent</v>
      </c>
      <c r="AE200" t="str">
        <v>Wellington, New Zealand</v>
      </c>
      <c r="AF200">
        <v>5.183561643835616</v>
      </c>
      <c r="AG200" t="str">
        <v>Part time</v>
      </c>
    </row>
    <row r="201" spans="9:33" x14ac:dyDescent="0.25">
      <c r="I201" s="57"/>
      <c r="U201" t="str">
        <v>VT01092</v>
      </c>
      <c r="V201" t="str">
        <v>Tabby</v>
      </c>
      <c r="W201" t="str">
        <v>Astall</v>
      </c>
      <c r="X201" t="str">
        <v>Male</v>
      </c>
      <c r="Y201" t="str">
        <v>Accounting</v>
      </c>
      <c r="Z201">
        <v>57419.35</v>
      </c>
      <c r="AA201" t="str">
        <v>50k to 100k</v>
      </c>
      <c r="AB201" s="57">
        <v>43305</v>
      </c>
      <c r="AC201">
        <v>1</v>
      </c>
      <c r="AD201" t="str">
        <v>Fixed Term</v>
      </c>
      <c r="AE201" t="str">
        <v>Auckland, New Zealand</v>
      </c>
      <c r="AF201">
        <v>5.9150684931506845</v>
      </c>
      <c r="AG201" t="str">
        <v>Full time</v>
      </c>
    </row>
    <row r="202" spans="9:33" x14ac:dyDescent="0.25">
      <c r="I202" s="57"/>
      <c r="U202" t="str">
        <v>TN02749</v>
      </c>
      <c r="V202" t="str">
        <v>Parasuramudu</v>
      </c>
      <c r="W202" t="str">
        <v>Jamakayala</v>
      </c>
      <c r="X202" t="str">
        <v>Female</v>
      </c>
      <c r="Y202" t="str">
        <v>Training</v>
      </c>
      <c r="Z202">
        <v>57002.02</v>
      </c>
      <c r="AA202" t="str">
        <v>50k to 100k</v>
      </c>
      <c r="AB202" s="57">
        <v>43192</v>
      </c>
      <c r="AC202">
        <v>0.7</v>
      </c>
      <c r="AD202" t="str">
        <v>Permanent</v>
      </c>
      <c r="AE202" t="str">
        <v>Hyderabad, India</v>
      </c>
      <c r="AF202">
        <v>6.2246575342465755</v>
      </c>
      <c r="AG202" t="str">
        <v>Part time</v>
      </c>
    </row>
    <row r="203" spans="9:33" x14ac:dyDescent="0.25">
      <c r="I203" s="57"/>
      <c r="U203" t="str">
        <v>SQ02565</v>
      </c>
      <c r="V203" t="str">
        <v>Konstantin</v>
      </c>
      <c r="W203" t="str">
        <v>Timblett</v>
      </c>
      <c r="X203" t="str">
        <v>Female</v>
      </c>
      <c r="Y203" t="str">
        <v>Training</v>
      </c>
      <c r="Z203">
        <v>56253.81</v>
      </c>
      <c r="AA203" t="str">
        <v>50k to 100k</v>
      </c>
      <c r="AB203" s="57">
        <v>44421</v>
      </c>
      <c r="AC203">
        <v>1</v>
      </c>
      <c r="AD203" t="str">
        <v>Permanent</v>
      </c>
      <c r="AE203" t="str">
        <v>Auckland, New Zealand</v>
      </c>
      <c r="AF203">
        <v>2.8575342465753426</v>
      </c>
      <c r="AG203" t="str">
        <v>Full time</v>
      </c>
    </row>
    <row r="204" spans="9:33" x14ac:dyDescent="0.25">
      <c r="I204" s="57"/>
      <c r="U204" t="str">
        <v>SQ00691</v>
      </c>
      <c r="V204" t="str">
        <v>Verla</v>
      </c>
      <c r="W204" t="str">
        <v>Timmis</v>
      </c>
      <c r="X204" t="str">
        <v>Male</v>
      </c>
      <c r="Y204" t="str">
        <v>Support</v>
      </c>
      <c r="Z204">
        <v>54137.05</v>
      </c>
      <c r="AA204" t="str">
        <v>50k to 100k</v>
      </c>
      <c r="AB204" s="57">
        <v>43763</v>
      </c>
      <c r="AC204">
        <v>1</v>
      </c>
      <c r="AD204" t="str">
        <v>Permanent</v>
      </c>
      <c r="AE204" t="str">
        <v>Remote</v>
      </c>
      <c r="AF204">
        <v>4.6602739726027398</v>
      </c>
      <c r="AG204" t="str">
        <v>Full time</v>
      </c>
    </row>
    <row r="205" spans="9:33" x14ac:dyDescent="0.25">
      <c r="I205" s="57"/>
      <c r="U205" t="str">
        <v>VT02313</v>
      </c>
      <c r="V205" t="str">
        <v>Thekla</v>
      </c>
      <c r="W205" t="str">
        <v>Lynnett</v>
      </c>
      <c r="X205" t="str">
        <v>Male</v>
      </c>
      <c r="Y205" t="str">
        <v>Training</v>
      </c>
      <c r="Z205">
        <v>53949.26</v>
      </c>
      <c r="AA205" t="str">
        <v>50k to 100k</v>
      </c>
      <c r="AB205" s="57">
        <v>43808</v>
      </c>
      <c r="AC205">
        <v>1</v>
      </c>
      <c r="AD205" t="str">
        <v>Temporary</v>
      </c>
      <c r="AE205" t="str">
        <v>Columbus, USA</v>
      </c>
      <c r="AF205">
        <v>4.536986301369863</v>
      </c>
      <c r="AG205" t="str">
        <v>Full time</v>
      </c>
    </row>
    <row r="206" spans="9:33" x14ac:dyDescent="0.25">
      <c r="I206" s="57"/>
      <c r="U206" t="str">
        <v>VT02313</v>
      </c>
      <c r="V206" t="str">
        <v>Thekla</v>
      </c>
      <c r="W206" t="str">
        <v>Lynnett</v>
      </c>
      <c r="X206" t="str">
        <v>Male</v>
      </c>
      <c r="Y206" t="str">
        <v>Training</v>
      </c>
      <c r="Z206">
        <v>53949.26</v>
      </c>
      <c r="AA206" t="str">
        <v>50k to 100k</v>
      </c>
      <c r="AB206" s="57">
        <v>43808</v>
      </c>
      <c r="AC206">
        <v>1</v>
      </c>
      <c r="AD206" t="str">
        <v>Temporary</v>
      </c>
      <c r="AE206" t="str">
        <v>Columbus, USA</v>
      </c>
      <c r="AF206">
        <v>4.536986301369863</v>
      </c>
      <c r="AG206" t="str">
        <v>Full time</v>
      </c>
    </row>
    <row r="207" spans="9:33" x14ac:dyDescent="0.25">
      <c r="I207" s="57"/>
      <c r="U207" t="str">
        <v>VT01246</v>
      </c>
      <c r="V207" t="str">
        <v>Zach</v>
      </c>
      <c r="W207" t="str">
        <v>Polon</v>
      </c>
      <c r="X207" t="str">
        <v>Male</v>
      </c>
      <c r="Y207" t="str">
        <v>Marketing</v>
      </c>
      <c r="Z207">
        <v>53535.62</v>
      </c>
      <c r="AA207" t="str">
        <v>50k to 100k</v>
      </c>
      <c r="AB207" s="57">
        <v>44110</v>
      </c>
      <c r="AC207">
        <v>0.5</v>
      </c>
      <c r="AD207" t="str">
        <v>Fixed Term</v>
      </c>
      <c r="AE207" t="str">
        <v>Seattle, USA</v>
      </c>
      <c r="AF207">
        <v>3.7095890410958905</v>
      </c>
      <c r="AG207" t="str">
        <v>Part time</v>
      </c>
    </row>
    <row r="208" spans="9:33" x14ac:dyDescent="0.25">
      <c r="I208" s="57"/>
      <c r="U208" t="str">
        <v>TN04892</v>
      </c>
      <c r="V208" t="str">
        <v>Luca</v>
      </c>
      <c r="W208" t="str">
        <v>Wolstenholme</v>
      </c>
      <c r="X208" t="str">
        <v>Male</v>
      </c>
      <c r="Y208" t="str">
        <v>Engineering</v>
      </c>
      <c r="Z208">
        <v>53184.02</v>
      </c>
      <c r="AA208" t="str">
        <v>50k to 100k</v>
      </c>
      <c r="AB208" s="57">
        <v>43180</v>
      </c>
      <c r="AC208">
        <v>1</v>
      </c>
      <c r="AD208" t="str">
        <v>Fixed Term</v>
      </c>
      <c r="AE208" t="str">
        <v>Remote</v>
      </c>
      <c r="AF208">
        <v>6.2575342465753421</v>
      </c>
      <c r="AG208" t="str">
        <v>Full time</v>
      </c>
    </row>
    <row r="209" spans="9:33" x14ac:dyDescent="0.25">
      <c r="I209" s="57"/>
      <c r="U209" t="str">
        <v>PR00882</v>
      </c>
      <c r="V209" t="str">
        <v>Jill</v>
      </c>
      <c r="W209" t="str">
        <v>Shipsey</v>
      </c>
      <c r="X209" t="str">
        <v>Male</v>
      </c>
      <c r="Y209" t="str">
        <v>Accounting</v>
      </c>
      <c r="Z209">
        <v>52963.65</v>
      </c>
      <c r="AA209" t="str">
        <v>50k to 100k</v>
      </c>
      <c r="AB209" s="57">
        <v>44288</v>
      </c>
      <c r="AC209">
        <v>0.3</v>
      </c>
      <c r="AD209" t="str">
        <v>Permanent</v>
      </c>
      <c r="AE209" t="str">
        <v>Columbus, USA</v>
      </c>
      <c r="AF209">
        <v>3.2219178082191782</v>
      </c>
      <c r="AG209" t="str">
        <v>Part time</v>
      </c>
    </row>
    <row r="210" spans="9:33" x14ac:dyDescent="0.25">
      <c r="I210" s="57"/>
      <c r="U210" t="str">
        <v>TN00464</v>
      </c>
      <c r="V210" t="str">
        <v>Gopal</v>
      </c>
      <c r="W210" t="str">
        <v>Venkata</v>
      </c>
      <c r="X210" t="str">
        <v>Male</v>
      </c>
      <c r="Y210" t="str">
        <v>Research and Development</v>
      </c>
      <c r="Z210">
        <v>52748.63</v>
      </c>
      <c r="AA210" t="str">
        <v>50k to 100k</v>
      </c>
      <c r="AB210" s="57">
        <v>43857</v>
      </c>
      <c r="AC210">
        <v>1</v>
      </c>
      <c r="AD210" t="str">
        <v>Permanent</v>
      </c>
      <c r="AE210" t="str">
        <v>Chennai, India</v>
      </c>
      <c r="AF210">
        <v>4.4027397260273968</v>
      </c>
      <c r="AG210" t="str">
        <v>Full time</v>
      </c>
    </row>
    <row r="211" spans="9:33" x14ac:dyDescent="0.25">
      <c r="I211" s="57"/>
      <c r="U211" t="str">
        <v>SQ02424</v>
      </c>
      <c r="V211" t="str">
        <v>Kevalkumar</v>
      </c>
      <c r="W211" t="str">
        <v>Solanki</v>
      </c>
      <c r="X211" t="str">
        <v>Male</v>
      </c>
      <c r="Y211" t="str">
        <v>Accounting</v>
      </c>
      <c r="Z211">
        <v>52270.22</v>
      </c>
      <c r="AA211" t="str">
        <v>50k to 100k</v>
      </c>
      <c r="AB211" s="57">
        <v>43521</v>
      </c>
      <c r="AC211">
        <v>0.3</v>
      </c>
      <c r="AD211" t="str">
        <v>Permanent</v>
      </c>
      <c r="AE211" t="str">
        <v>Chennai, India</v>
      </c>
      <c r="AF211">
        <v>5.3232876712328769</v>
      </c>
      <c r="AG211" t="str">
        <v>Part time</v>
      </c>
    </row>
    <row r="212" spans="9:33" x14ac:dyDescent="0.25">
      <c r="I212" s="57"/>
      <c r="U212" t="str">
        <v>VT03849</v>
      </c>
      <c r="V212" t="str">
        <v>Leonidas</v>
      </c>
      <c r="W212" t="str">
        <v>Cavaney</v>
      </c>
      <c r="X212" t="str">
        <v>Male</v>
      </c>
      <c r="Y212" t="str">
        <v>Accounting</v>
      </c>
      <c r="Z212">
        <v>52246.29</v>
      </c>
      <c r="AA212" t="str">
        <v>50k to 100k</v>
      </c>
      <c r="AB212" s="57">
        <v>43573</v>
      </c>
      <c r="AC212">
        <v>1</v>
      </c>
      <c r="AD212" t="str">
        <v>Temporary</v>
      </c>
      <c r="AE212" t="str">
        <v>Wellington, New Zealand</v>
      </c>
      <c r="AF212">
        <v>5.1808219178082195</v>
      </c>
      <c r="AG212" t="str">
        <v>Full time</v>
      </c>
    </row>
    <row r="213" spans="9:33" x14ac:dyDescent="0.25">
      <c r="I213" s="57"/>
      <c r="U213" t="str">
        <v>SQ02582</v>
      </c>
      <c r="V213" t="str">
        <v>Kaishori</v>
      </c>
      <c r="W213" t="str">
        <v>Harathi</v>
      </c>
      <c r="X213" t="str">
        <v>Female</v>
      </c>
      <c r="Y213" t="str">
        <v>Product Management</v>
      </c>
      <c r="Z213">
        <v>51798.25</v>
      </c>
      <c r="AA213" t="str">
        <v>50k to 100k</v>
      </c>
      <c r="AB213" s="57">
        <v>43665</v>
      </c>
      <c r="AC213">
        <v>1</v>
      </c>
      <c r="AD213" t="str">
        <v>Permanent</v>
      </c>
      <c r="AE213" t="str">
        <v>Hyderabad, India</v>
      </c>
      <c r="AF213">
        <v>4.9287671232876713</v>
      </c>
      <c r="AG213" t="str">
        <v>Full time</v>
      </c>
    </row>
    <row r="214" spans="9:33" x14ac:dyDescent="0.25">
      <c r="I214" s="57"/>
      <c r="U214" t="str">
        <v>VT02118</v>
      </c>
      <c r="V214" t="str">
        <v>Oorjit</v>
      </c>
      <c r="W214" t="str">
        <v>Nandanavanam</v>
      </c>
      <c r="X214" t="str">
        <v>Female</v>
      </c>
      <c r="Y214" t="str">
        <v>Engineering</v>
      </c>
      <c r="Z214">
        <v>51165.37</v>
      </c>
      <c r="AA214" t="str">
        <v>50k to 100k</v>
      </c>
      <c r="AB214" s="57">
        <v>44237</v>
      </c>
      <c r="AC214">
        <v>1</v>
      </c>
      <c r="AD214" t="str">
        <v>Fixed Term</v>
      </c>
      <c r="AE214" t="str">
        <v>Hyderabad, India</v>
      </c>
      <c r="AF214">
        <v>3.3616438356164382</v>
      </c>
      <c r="AG214" t="str">
        <v>Full time</v>
      </c>
    </row>
    <row r="215" spans="9:33" x14ac:dyDescent="0.25">
      <c r="I215" s="57"/>
      <c r="U215" t="str">
        <v>SQ02525</v>
      </c>
      <c r="V215" t="str">
        <v>Mickie</v>
      </c>
      <c r="W215" t="str">
        <v>Dagwell</v>
      </c>
      <c r="X215" t="str">
        <v>Male</v>
      </c>
      <c r="Y215" t="str">
        <v>Engineering</v>
      </c>
      <c r="Z215">
        <v>50855.53</v>
      </c>
      <c r="AA215" t="str">
        <v>50k to 100k</v>
      </c>
      <c r="AB215" s="57">
        <v>44221</v>
      </c>
      <c r="AC215">
        <v>1</v>
      </c>
      <c r="AD215" t="str">
        <v>Permanent</v>
      </c>
      <c r="AE215" t="str">
        <v>Wellington, New Zealand</v>
      </c>
      <c r="AF215">
        <v>3.4054794520547946</v>
      </c>
      <c r="AG215" t="str">
        <v>Full time</v>
      </c>
    </row>
    <row r="216" spans="9:33" x14ac:dyDescent="0.25">
      <c r="I216" s="57"/>
      <c r="U216" t="str">
        <v>PR01662</v>
      </c>
      <c r="V216" t="str">
        <v>Genevra</v>
      </c>
      <c r="W216" t="str">
        <v>Friday</v>
      </c>
      <c r="X216" t="str">
        <v>Female</v>
      </c>
      <c r="Y216" t="str">
        <v>Research and Development</v>
      </c>
      <c r="Z216">
        <v>50449.46</v>
      </c>
      <c r="AA216" t="str">
        <v>50k to 100k</v>
      </c>
      <c r="AB216" s="57">
        <v>43418</v>
      </c>
      <c r="AC216">
        <v>0.8</v>
      </c>
      <c r="AD216" t="str">
        <v>Permanent</v>
      </c>
      <c r="AE216" t="str">
        <v>Auckland, New Zealand</v>
      </c>
      <c r="AF216">
        <v>5.6054794520547944</v>
      </c>
      <c r="AG216" t="str">
        <v>Part time</v>
      </c>
    </row>
    <row r="217" spans="9:33" x14ac:dyDescent="0.25">
      <c r="I217" s="57"/>
      <c r="U217" t="str">
        <v>PR00893</v>
      </c>
      <c r="V217" t="str">
        <v>Vasavi</v>
      </c>
      <c r="W217" t="str">
        <v>Veeravasarapu</v>
      </c>
      <c r="X217" t="str">
        <v>Male</v>
      </c>
      <c r="Y217" t="str">
        <v>Human Resources</v>
      </c>
      <c r="Z217">
        <v>50310.09</v>
      </c>
      <c r="AA217" t="str">
        <v>50k to 100k</v>
      </c>
      <c r="AB217" s="57">
        <v>44285</v>
      </c>
      <c r="AC217">
        <v>0.4</v>
      </c>
      <c r="AD217" t="str">
        <v>Permanent</v>
      </c>
      <c r="AE217" t="str">
        <v>Hyderabad, India</v>
      </c>
      <c r="AF217">
        <v>3.2301369863013698</v>
      </c>
      <c r="AG217" t="str">
        <v>Part time</v>
      </c>
    </row>
    <row r="218" spans="9:33" x14ac:dyDescent="0.25">
      <c r="I218" s="57"/>
      <c r="U218" t="str">
        <v>SQ01519</v>
      </c>
      <c r="V218" t="str">
        <v>Caron</v>
      </c>
      <c r="W218" t="str">
        <v>Kolakovic</v>
      </c>
      <c r="X218" t="str">
        <v>Male</v>
      </c>
      <c r="Y218" t="str">
        <v>Accounting</v>
      </c>
      <c r="Z218">
        <v>49915.14</v>
      </c>
      <c r="AA218" t="str">
        <v>Under 50k</v>
      </c>
      <c r="AB218" s="57">
        <v>43550</v>
      </c>
      <c r="AC218">
        <v>1</v>
      </c>
      <c r="AD218" t="str">
        <v>Permanent</v>
      </c>
      <c r="AE218" t="str">
        <v>Remote</v>
      </c>
      <c r="AF218">
        <v>5.2438356164383562</v>
      </c>
      <c r="AG218" t="str">
        <v>Full time</v>
      </c>
    </row>
    <row r="219" spans="9:33" x14ac:dyDescent="0.25">
      <c r="I219" s="57"/>
      <c r="U219" t="str">
        <v>VT00194</v>
      </c>
      <c r="V219" t="str">
        <v>Violante</v>
      </c>
      <c r="W219" t="str">
        <v>Courtonne</v>
      </c>
      <c r="X219" t="str">
        <v>Female</v>
      </c>
      <c r="Y219" t="str">
        <v>Product Management</v>
      </c>
      <c r="Z219">
        <v>49625.64</v>
      </c>
      <c r="AA219" t="str">
        <v>Under 50k</v>
      </c>
      <c r="AB219" s="57">
        <v>44384</v>
      </c>
      <c r="AC219">
        <v>0.5</v>
      </c>
      <c r="AD219" t="str">
        <v>Fixed Term</v>
      </c>
      <c r="AE219" t="str">
        <v>Remote</v>
      </c>
      <c r="AF219">
        <v>2.9589041095890409</v>
      </c>
      <c r="AG219" t="str">
        <v>Part time</v>
      </c>
    </row>
    <row r="220" spans="9:33" x14ac:dyDescent="0.25">
      <c r="I220" s="57"/>
      <c r="U220" t="str">
        <v>PR01943</v>
      </c>
      <c r="V220" t="str">
        <v>Rameshwari</v>
      </c>
      <c r="W220" t="str">
        <v>Chikodi</v>
      </c>
      <c r="X220" t="str">
        <v>Male</v>
      </c>
      <c r="Y220" t="str">
        <v>Human Resources</v>
      </c>
      <c r="Z220">
        <v>48525.71</v>
      </c>
      <c r="AA220" t="str">
        <v>Under 50k</v>
      </c>
      <c r="AB220" s="57">
        <v>43264</v>
      </c>
      <c r="AC220">
        <v>1</v>
      </c>
      <c r="AD220" t="str">
        <v>Permanent</v>
      </c>
      <c r="AE220" t="str">
        <v>Hyderabad, India</v>
      </c>
      <c r="AF220">
        <v>6.0273972602739727</v>
      </c>
      <c r="AG220" t="str">
        <v>Full time</v>
      </c>
    </row>
    <row r="221" spans="9:33" x14ac:dyDescent="0.25">
      <c r="I221" s="57"/>
      <c r="U221" t="str">
        <v>VT00336</v>
      </c>
      <c r="V221" t="str">
        <v>Shevantilal</v>
      </c>
      <c r="W221" t="str">
        <v>Muppala</v>
      </c>
      <c r="X221" t="str">
        <v>Male</v>
      </c>
      <c r="Y221" t="str">
        <v>Services</v>
      </c>
      <c r="Z221">
        <v>47646.95</v>
      </c>
      <c r="AA221" t="str">
        <v>Under 50k</v>
      </c>
      <c r="AB221" s="57">
        <v>43791</v>
      </c>
      <c r="AC221">
        <v>0.3</v>
      </c>
      <c r="AD221" t="str">
        <v>Fixed Term</v>
      </c>
      <c r="AE221" t="str">
        <v>Chennai, India</v>
      </c>
      <c r="AF221">
        <v>4.5835616438356164</v>
      </c>
      <c r="AG221" t="str">
        <v>Part time</v>
      </c>
    </row>
    <row r="222" spans="9:33" x14ac:dyDescent="0.25">
      <c r="I222" s="57"/>
      <c r="U222" t="str">
        <v>PR04366</v>
      </c>
      <c r="V222" t="str">
        <v>Carry</v>
      </c>
      <c r="W222" t="str">
        <v>Loblie</v>
      </c>
      <c r="X222" t="str">
        <v>Female</v>
      </c>
      <c r="Y222" t="str">
        <v>Sales</v>
      </c>
      <c r="Z222">
        <v>47551.89</v>
      </c>
      <c r="AA222" t="str">
        <v>Under 50k</v>
      </c>
      <c r="AB222" s="57">
        <v>43468</v>
      </c>
      <c r="AC222">
        <v>1</v>
      </c>
      <c r="AD222" t="str">
        <v>Permanent</v>
      </c>
      <c r="AE222" t="str">
        <v>Auckland, New Zealand</v>
      </c>
      <c r="AF222">
        <v>5.4684931506849317</v>
      </c>
      <c r="AG222" t="str">
        <v>Full time</v>
      </c>
    </row>
    <row r="223" spans="9:33" x14ac:dyDescent="0.25">
      <c r="I223" s="57"/>
      <c r="U223" t="str">
        <v>VT04984</v>
      </c>
      <c r="V223" t="str">
        <v>Dell</v>
      </c>
      <c r="W223" t="str">
        <v>Molloy</v>
      </c>
      <c r="X223" t="str">
        <v>Male</v>
      </c>
      <c r="Y223" t="str">
        <v>Engineering</v>
      </c>
      <c r="Z223">
        <v>47362.62</v>
      </c>
      <c r="AA223" t="str">
        <v>Under 50k</v>
      </c>
      <c r="AB223" s="57">
        <v>43973</v>
      </c>
      <c r="AC223">
        <v>1</v>
      </c>
      <c r="AD223" t="str">
        <v>Temporary</v>
      </c>
      <c r="AE223" t="str">
        <v>Remote</v>
      </c>
      <c r="AF223">
        <v>4.0849315068493155</v>
      </c>
      <c r="AG223" t="str">
        <v>Full time</v>
      </c>
    </row>
    <row r="224" spans="9:33" x14ac:dyDescent="0.25">
      <c r="I224" s="57"/>
      <c r="U224" t="str">
        <v>VT00740</v>
      </c>
      <c r="V224" t="str">
        <v>Chitrasen</v>
      </c>
      <c r="W224" t="str">
        <v>Laul</v>
      </c>
      <c r="X224" t="str">
        <v>Female</v>
      </c>
      <c r="Y224" t="str">
        <v>Research and Development</v>
      </c>
      <c r="Z224">
        <v>46751.7</v>
      </c>
      <c r="AA224" t="str">
        <v>Under 50k</v>
      </c>
      <c r="AB224" s="57">
        <v>43843</v>
      </c>
      <c r="AC224">
        <v>1</v>
      </c>
      <c r="AD224" t="str">
        <v>Fixed Term</v>
      </c>
      <c r="AE224" t="str">
        <v>Hyderabad, India</v>
      </c>
      <c r="AF224">
        <v>4.441095890410959</v>
      </c>
      <c r="AG224" t="str">
        <v>Full time</v>
      </c>
    </row>
    <row r="225" spans="9:33" x14ac:dyDescent="0.25">
      <c r="I225" s="57"/>
      <c r="U225" t="str">
        <v>SQ02223</v>
      </c>
      <c r="V225" t="str">
        <v>Pippy</v>
      </c>
      <c r="W225" t="str">
        <v>Shepperd</v>
      </c>
      <c r="X225" t="str">
        <v>Female</v>
      </c>
      <c r="Y225" t="str">
        <v>Accounting</v>
      </c>
      <c r="Z225">
        <v>44845.33</v>
      </c>
      <c r="AA225" t="str">
        <v>Under 50k</v>
      </c>
      <c r="AB225" s="57">
        <v>43277</v>
      </c>
      <c r="AC225">
        <v>1</v>
      </c>
      <c r="AD225" t="str">
        <v>Permanent</v>
      </c>
      <c r="AE225" t="str">
        <v>Seattle, USA</v>
      </c>
      <c r="AF225">
        <v>5.9917808219178079</v>
      </c>
      <c r="AG225" t="str">
        <v>Full time</v>
      </c>
    </row>
    <row r="226" spans="9:33" x14ac:dyDescent="0.25">
      <c r="I226" s="57"/>
      <c r="U226" t="str">
        <v>SQ00960</v>
      </c>
      <c r="V226" t="str">
        <v>Calvin</v>
      </c>
      <c r="W226" t="str">
        <v>O'Carroll</v>
      </c>
      <c r="X226" t="str">
        <v>Female</v>
      </c>
      <c r="Y226" t="str">
        <v>Research and Development</v>
      </c>
      <c r="Z226">
        <v>44447.26</v>
      </c>
      <c r="AA226" t="str">
        <v>Under 50k</v>
      </c>
      <c r="AB226" s="57">
        <v>43846</v>
      </c>
      <c r="AC226">
        <v>0.4</v>
      </c>
      <c r="AD226" t="str">
        <v>Permanent</v>
      </c>
      <c r="AE226" t="str">
        <v>Seattle, USA</v>
      </c>
      <c r="AF226">
        <v>4.4328767123287669</v>
      </c>
      <c r="AG226" t="str">
        <v>Part time</v>
      </c>
    </row>
    <row r="227" spans="9:33" x14ac:dyDescent="0.25">
      <c r="I227" s="57"/>
      <c r="U227" t="str">
        <v>SQ01402</v>
      </c>
      <c r="V227" t="str">
        <v>Sahaj</v>
      </c>
      <c r="W227" t="str">
        <v>Jonnalagadda</v>
      </c>
      <c r="X227" t="str">
        <v>Female</v>
      </c>
      <c r="Y227" t="str">
        <v>Engineering</v>
      </c>
      <c r="Z227">
        <v>44403.77</v>
      </c>
      <c r="AA227" t="str">
        <v>Under 50k</v>
      </c>
      <c r="AB227" s="57">
        <v>43416</v>
      </c>
      <c r="AC227">
        <v>1</v>
      </c>
      <c r="AD227" t="str">
        <v>Permanent</v>
      </c>
      <c r="AE227" t="str">
        <v>Hyderabad, India</v>
      </c>
      <c r="AF227">
        <v>5.6109589041095891</v>
      </c>
      <c r="AG227" t="str">
        <v>Full time</v>
      </c>
    </row>
    <row r="228" spans="9:33" x14ac:dyDescent="0.25">
      <c r="I228" s="57"/>
      <c r="U228" t="str">
        <v>TN03416</v>
      </c>
      <c r="V228" t="str">
        <v>Seward</v>
      </c>
      <c r="W228" t="str">
        <v>Kubera</v>
      </c>
      <c r="X228" t="str">
        <v>Male</v>
      </c>
      <c r="Y228" t="str">
        <v>Engineering</v>
      </c>
      <c r="Z228">
        <v>43329.22</v>
      </c>
      <c r="AA228" t="str">
        <v>Under 50k</v>
      </c>
      <c r="AB228" s="57">
        <v>43809</v>
      </c>
      <c r="AC228">
        <v>0.5</v>
      </c>
      <c r="AD228" t="str">
        <v>Fixed Term</v>
      </c>
      <c r="AE228" t="str">
        <v>Remote</v>
      </c>
      <c r="AF228">
        <v>4.5342465753424657</v>
      </c>
      <c r="AG228" t="str">
        <v>Part time</v>
      </c>
    </row>
    <row r="229" spans="9:33" x14ac:dyDescent="0.25">
      <c r="I229" s="57"/>
      <c r="U229" t="str">
        <v>VT00578</v>
      </c>
      <c r="V229" t="str">
        <v>Magnum</v>
      </c>
      <c r="W229" t="str">
        <v>Locksley</v>
      </c>
      <c r="X229" t="str">
        <v>Female</v>
      </c>
      <c r="Y229" t="str">
        <v>Services</v>
      </c>
      <c r="Z229">
        <v>42314.39</v>
      </c>
      <c r="AA229" t="str">
        <v>Under 50k</v>
      </c>
      <c r="AB229" s="57">
        <v>44487</v>
      </c>
      <c r="AC229">
        <v>1</v>
      </c>
      <c r="AD229" t="str">
        <v>Fixed Term</v>
      </c>
      <c r="AE229" t="str">
        <v>Remote</v>
      </c>
      <c r="AF229">
        <v>2.6767123287671235</v>
      </c>
      <c r="AG229" t="str">
        <v>Full time</v>
      </c>
    </row>
    <row r="230" spans="9:33" x14ac:dyDescent="0.25">
      <c r="I230" s="57"/>
      <c r="U230" t="str">
        <v>TN00727</v>
      </c>
      <c r="V230" t="str">
        <v>Dulsea</v>
      </c>
      <c r="W230" t="str">
        <v>Folkes</v>
      </c>
      <c r="X230" t="str">
        <v>Female</v>
      </c>
      <c r="Y230" t="str">
        <v>Services</v>
      </c>
      <c r="Z230">
        <v>42161.77</v>
      </c>
      <c r="AA230" t="str">
        <v>Under 50k</v>
      </c>
      <c r="AB230" s="57">
        <v>43494</v>
      </c>
      <c r="AC230">
        <v>1</v>
      </c>
      <c r="AD230" t="str">
        <v>Permanent</v>
      </c>
      <c r="AE230" t="str">
        <v>Auckland, New Zealand</v>
      </c>
      <c r="AF230">
        <v>5.397260273972603</v>
      </c>
      <c r="AG230" t="str">
        <v>Full time</v>
      </c>
    </row>
    <row r="231" spans="9:33" x14ac:dyDescent="0.25">
      <c r="I231" s="57"/>
      <c r="U231" t="str">
        <v>PR02275</v>
      </c>
      <c r="V231" t="str">
        <v>Louise</v>
      </c>
      <c r="W231" t="str">
        <v>Lamming</v>
      </c>
      <c r="X231" t="str">
        <v>Female</v>
      </c>
      <c r="Y231" t="str">
        <v>Sales</v>
      </c>
      <c r="Z231">
        <v>41934.71</v>
      </c>
      <c r="AA231" t="str">
        <v>Under 50k</v>
      </c>
      <c r="AB231" s="57">
        <v>43780</v>
      </c>
      <c r="AC231">
        <v>1</v>
      </c>
      <c r="AD231" t="str">
        <v>Permanent</v>
      </c>
      <c r="AE231" t="str">
        <v>Remote</v>
      </c>
      <c r="AF231">
        <v>4.6136986301369864</v>
      </c>
      <c r="AG231" t="str">
        <v>Full time</v>
      </c>
    </row>
    <row r="232" spans="9:33" x14ac:dyDescent="0.25">
      <c r="I232" s="57"/>
      <c r="U232" t="str">
        <v>SQ00450</v>
      </c>
      <c r="V232" t="str">
        <v>Louise</v>
      </c>
      <c r="W232" t="str">
        <v>Lamming</v>
      </c>
      <c r="X232" t="str">
        <v>Female</v>
      </c>
      <c r="Y232" t="str">
        <v>Sales</v>
      </c>
      <c r="Z232">
        <v>41934.71</v>
      </c>
      <c r="AA232" t="str">
        <v>Under 50k</v>
      </c>
      <c r="AB232" s="57">
        <v>43943</v>
      </c>
      <c r="AC232">
        <v>1</v>
      </c>
      <c r="AD232" t="str">
        <v>Permanent</v>
      </c>
      <c r="AE232" t="str">
        <v>Remote</v>
      </c>
      <c r="AF232">
        <v>4.1671232876712327</v>
      </c>
      <c r="AG232" t="str">
        <v>Full time</v>
      </c>
    </row>
    <row r="233" spans="9:33" x14ac:dyDescent="0.25">
      <c r="I233" s="57"/>
      <c r="U233" t="str">
        <v>SQ00360</v>
      </c>
      <c r="V233" t="str">
        <v>Orlando</v>
      </c>
      <c r="W233" t="str">
        <v>Gorstidge</v>
      </c>
      <c r="X233" t="str">
        <v>Male</v>
      </c>
      <c r="Y233" t="str">
        <v>Marketing</v>
      </c>
      <c r="Z233">
        <v>40753.54</v>
      </c>
      <c r="AA233" t="str">
        <v>Under 50k</v>
      </c>
      <c r="AB233" s="57">
        <v>43152</v>
      </c>
      <c r="AC233">
        <v>0.6</v>
      </c>
      <c r="AD233" t="str">
        <v>Permanent</v>
      </c>
      <c r="AE233" t="str">
        <v>Wellington, New Zealand</v>
      </c>
      <c r="AF233">
        <v>6.3342465753424655</v>
      </c>
      <c r="AG233" t="str">
        <v>Part time</v>
      </c>
    </row>
    <row r="234" spans="9:33" x14ac:dyDescent="0.25">
      <c r="I234" s="57"/>
      <c r="U234" t="str">
        <v>SQ01998</v>
      </c>
      <c r="V234" t="str">
        <v>Vanmala</v>
      </c>
      <c r="W234" t="str">
        <v>Shriharsha</v>
      </c>
      <c r="X234" t="str">
        <v>Male</v>
      </c>
      <c r="Y234" t="str">
        <v>Product Management</v>
      </c>
      <c r="Z234">
        <v>40445.29</v>
      </c>
      <c r="AA234" t="str">
        <v>Under 50k</v>
      </c>
      <c r="AB234" s="57">
        <v>44393</v>
      </c>
      <c r="AC234">
        <v>1</v>
      </c>
      <c r="AD234" t="str">
        <v>Permanent</v>
      </c>
      <c r="AE234" t="str">
        <v>Chennai, India</v>
      </c>
      <c r="AF234">
        <v>2.9342465753424656</v>
      </c>
      <c r="AG234" t="str">
        <v>Full time</v>
      </c>
    </row>
    <row r="235" spans="9:33" x14ac:dyDescent="0.25">
      <c r="I235" s="57"/>
      <c r="U235" t="str">
        <v>SQ01998</v>
      </c>
      <c r="V235" t="str">
        <v>Sahas</v>
      </c>
      <c r="W235" t="str">
        <v>Sanabhi</v>
      </c>
      <c r="X235" t="str">
        <v>Male</v>
      </c>
      <c r="Y235" t="str">
        <v>Product Management</v>
      </c>
      <c r="Z235">
        <v>40445.29</v>
      </c>
      <c r="AA235" t="str">
        <v>Under 50k</v>
      </c>
      <c r="AB235" s="57">
        <v>44393</v>
      </c>
      <c r="AC235">
        <v>1</v>
      </c>
      <c r="AD235" t="str">
        <v>Permanent</v>
      </c>
      <c r="AE235" t="str">
        <v>Chennai, India</v>
      </c>
      <c r="AF235">
        <v>2.9342465753424656</v>
      </c>
      <c r="AG235" t="str">
        <v>Full time</v>
      </c>
    </row>
    <row r="236" spans="9:33" x14ac:dyDescent="0.25">
      <c r="I236" s="57"/>
      <c r="U236" t="str">
        <v>VT02539</v>
      </c>
      <c r="V236" t="str">
        <v>Devinne</v>
      </c>
      <c r="W236" t="str">
        <v>Tuny</v>
      </c>
      <c r="X236" t="str">
        <v>Male</v>
      </c>
      <c r="Y236" t="str">
        <v>Engineering</v>
      </c>
      <c r="Z236">
        <v>39969.72</v>
      </c>
      <c r="AA236" t="str">
        <v>Under 50k</v>
      </c>
      <c r="AB236" s="57">
        <v>43444</v>
      </c>
      <c r="AC236">
        <v>1</v>
      </c>
      <c r="AD236" t="str">
        <v>Temporary</v>
      </c>
      <c r="AE236" t="str">
        <v>Columbus, USA</v>
      </c>
      <c r="AF236">
        <v>5.5342465753424657</v>
      </c>
      <c r="AG236" t="str">
        <v>Full time</v>
      </c>
    </row>
    <row r="237" spans="9:33" x14ac:dyDescent="0.25">
      <c r="I237" s="57"/>
      <c r="U237" t="str">
        <v>TN03068</v>
      </c>
      <c r="V237" t="str">
        <v>Gumwant</v>
      </c>
      <c r="W237" t="str">
        <v>Veera</v>
      </c>
      <c r="X237" t="str">
        <v>Male</v>
      </c>
      <c r="Y237" t="str">
        <v>Business Development</v>
      </c>
      <c r="Z237">
        <v>39784.239999999998</v>
      </c>
      <c r="AA237" t="str">
        <v>Under 50k</v>
      </c>
      <c r="AB237" s="57">
        <v>43465</v>
      </c>
      <c r="AC237">
        <v>1</v>
      </c>
      <c r="AD237" t="str">
        <v>Fixed Term</v>
      </c>
      <c r="AE237" t="str">
        <v>Chennai, India</v>
      </c>
      <c r="AF237">
        <v>5.4767123287671229</v>
      </c>
      <c r="AG237" t="str">
        <v>Full time</v>
      </c>
    </row>
    <row r="238" spans="9:33" x14ac:dyDescent="0.25">
      <c r="I238" s="57"/>
      <c r="U238" t="str">
        <v>TN03032</v>
      </c>
      <c r="V238" t="str">
        <v>Jaipal</v>
      </c>
      <c r="W238" t="str">
        <v>Potanapudi</v>
      </c>
      <c r="X238" t="str">
        <v>Female</v>
      </c>
      <c r="Y238" t="str">
        <v>Research and Development</v>
      </c>
      <c r="Z238">
        <v>39700.82</v>
      </c>
      <c r="AA238" t="str">
        <v>Under 50k</v>
      </c>
      <c r="AB238" s="57">
        <v>44203</v>
      </c>
      <c r="AC238">
        <v>0.8</v>
      </c>
      <c r="AD238" t="str">
        <v>Permanent</v>
      </c>
      <c r="AE238" t="str">
        <v>Chennai, India</v>
      </c>
      <c r="AF238">
        <v>3.4547945205479453</v>
      </c>
      <c r="AG238" t="str">
        <v>Part time</v>
      </c>
    </row>
    <row r="239" spans="9:33" x14ac:dyDescent="0.25">
      <c r="I239" s="57"/>
      <c r="U239" t="str">
        <v>TN03032</v>
      </c>
      <c r="V239" t="str">
        <v>Fullara</v>
      </c>
      <c r="W239" t="str">
        <v>Sushanti</v>
      </c>
      <c r="X239" t="str">
        <v>Female</v>
      </c>
      <c r="Y239" t="str">
        <v>Research and Development</v>
      </c>
      <c r="Z239">
        <v>39700.82</v>
      </c>
      <c r="AA239" t="str">
        <v>Under 50k</v>
      </c>
      <c r="AB239" s="57">
        <v>44203</v>
      </c>
      <c r="AC239">
        <v>0.8</v>
      </c>
      <c r="AD239" t="str">
        <v>Permanent</v>
      </c>
      <c r="AE239" t="str">
        <v>Chennai, India</v>
      </c>
      <c r="AF239">
        <v>3.4547945205479453</v>
      </c>
      <c r="AG239" t="str">
        <v>Part time</v>
      </c>
    </row>
    <row r="240" spans="9:33" x14ac:dyDescent="0.25">
      <c r="I240" s="57"/>
      <c r="U240" t="str">
        <v>PR03271</v>
      </c>
      <c r="V240" t="str">
        <v>Stan</v>
      </c>
      <c r="W240" t="str">
        <v>Tolliday</v>
      </c>
      <c r="X240" t="str">
        <v>Female</v>
      </c>
      <c r="Y240" t="str">
        <v>Sales</v>
      </c>
      <c r="Z240">
        <v>39535.49</v>
      </c>
      <c r="AA240" t="str">
        <v>Under 50k</v>
      </c>
      <c r="AB240" s="57">
        <v>43397</v>
      </c>
      <c r="AC240">
        <v>0.3</v>
      </c>
      <c r="AD240" t="str">
        <v>Permanent</v>
      </c>
      <c r="AE240" t="str">
        <v>Remote</v>
      </c>
      <c r="AF240">
        <v>5.6630136986301371</v>
      </c>
      <c r="AG240" t="str">
        <v>Part time</v>
      </c>
    </row>
    <row r="241" spans="9:33" x14ac:dyDescent="0.25">
      <c r="I241" s="57"/>
      <c r="U241" t="str">
        <v>VT04273</v>
      </c>
      <c r="V241" t="str">
        <v>Brad</v>
      </c>
      <c r="W241" t="str">
        <v>Gumb</v>
      </c>
      <c r="X241" t="str">
        <v>Male</v>
      </c>
      <c r="Y241" t="str">
        <v>Accounting</v>
      </c>
      <c r="Z241">
        <v>38825.18</v>
      </c>
      <c r="AA241" t="str">
        <v>Under 50k</v>
      </c>
      <c r="AB241" s="57">
        <v>43696</v>
      </c>
      <c r="AC241">
        <v>1</v>
      </c>
      <c r="AD241" t="str">
        <v>Temporary</v>
      </c>
      <c r="AE241" t="str">
        <v>Remote</v>
      </c>
      <c r="AF241">
        <v>4.8438356164383558</v>
      </c>
      <c r="AG241" t="str">
        <v>Full time</v>
      </c>
    </row>
    <row r="242" spans="9:33" x14ac:dyDescent="0.25">
      <c r="I242" s="57"/>
      <c r="U242" t="str">
        <v>SQ00914</v>
      </c>
      <c r="V242" t="str">
        <v>Duran</v>
      </c>
      <c r="W242" t="str">
        <v>Appala</v>
      </c>
      <c r="X242" t="str">
        <v>Female</v>
      </c>
      <c r="Y242" t="str">
        <v>Product Management</v>
      </c>
      <c r="Z242">
        <v>38438.239999999998</v>
      </c>
      <c r="AA242" t="str">
        <v>Under 50k</v>
      </c>
      <c r="AB242" s="57">
        <v>43962</v>
      </c>
      <c r="AC242">
        <v>1</v>
      </c>
      <c r="AD242" t="str">
        <v>Permanent</v>
      </c>
      <c r="AE242" t="str">
        <v>Chennai, India</v>
      </c>
      <c r="AF242">
        <v>4.1150684931506847</v>
      </c>
      <c r="AG242" t="str">
        <v>Full time</v>
      </c>
    </row>
    <row r="243" spans="9:33" x14ac:dyDescent="0.25">
      <c r="I243" s="57"/>
      <c r="U243" t="str">
        <v>SQ00914</v>
      </c>
      <c r="V243" t="str">
        <v>Karuna</v>
      </c>
      <c r="W243" t="str">
        <v>Pashupathy</v>
      </c>
      <c r="X243" t="str">
        <v>Female</v>
      </c>
      <c r="Y243" t="str">
        <v>Product Management</v>
      </c>
      <c r="Z243">
        <v>38438.239999999998</v>
      </c>
      <c r="AA243" t="str">
        <v>Under 50k</v>
      </c>
      <c r="AB243" s="57">
        <v>43962</v>
      </c>
      <c r="AC243">
        <v>1</v>
      </c>
      <c r="AD243" t="str">
        <v>Permanent</v>
      </c>
      <c r="AE243" t="str">
        <v>Chennai, India</v>
      </c>
      <c r="AF243">
        <v>4.1150684931506847</v>
      </c>
      <c r="AG243" t="str">
        <v>Full time</v>
      </c>
    </row>
    <row r="244" spans="9:33" x14ac:dyDescent="0.25">
      <c r="I244" s="57"/>
      <c r="U244" t="str">
        <v>TN00214</v>
      </c>
      <c r="V244" t="str">
        <v>Devsena</v>
      </c>
      <c r="W244" t="str">
        <v>Veluvalapalli</v>
      </c>
      <c r="X244" t="str">
        <v>Female</v>
      </c>
      <c r="Y244" t="str">
        <v>Training</v>
      </c>
      <c r="Z244">
        <v>37902.35</v>
      </c>
      <c r="AA244" t="str">
        <v>Under 50k</v>
      </c>
      <c r="AB244" s="57">
        <v>43823</v>
      </c>
      <c r="AC244">
        <v>1</v>
      </c>
      <c r="AD244" t="str">
        <v>Permanent</v>
      </c>
      <c r="AE244" t="str">
        <v>Chennai, India</v>
      </c>
      <c r="AF244">
        <v>4.4958904109589044</v>
      </c>
      <c r="AG244" t="str">
        <v>Full time</v>
      </c>
    </row>
    <row r="245" spans="9:33" x14ac:dyDescent="0.25">
      <c r="I245" s="57"/>
      <c r="U245" t="str">
        <v>TN00214</v>
      </c>
      <c r="V245" t="str">
        <v>Hemavati</v>
      </c>
      <c r="W245" t="str">
        <v>Muthiah</v>
      </c>
      <c r="X245" t="str">
        <v>Female</v>
      </c>
      <c r="Y245" t="str">
        <v>Training</v>
      </c>
      <c r="Z245">
        <v>37902.35</v>
      </c>
      <c r="AA245" t="str">
        <v>Under 50k</v>
      </c>
      <c r="AB245" s="57">
        <v>43823</v>
      </c>
      <c r="AC245">
        <v>1</v>
      </c>
      <c r="AD245" t="str">
        <v>Permanent</v>
      </c>
      <c r="AE245" t="str">
        <v>Chennai, India</v>
      </c>
      <c r="AF245">
        <v>4.4958904109589044</v>
      </c>
      <c r="AG245" t="str">
        <v>Full time</v>
      </c>
    </row>
    <row r="246" spans="9:33" x14ac:dyDescent="0.25">
      <c r="I246" s="57"/>
      <c r="U246" t="str">
        <v>PR02782</v>
      </c>
      <c r="V246" t="str">
        <v>Isaak</v>
      </c>
      <c r="W246" t="str">
        <v>Rawne</v>
      </c>
      <c r="X246" t="str">
        <v>Male</v>
      </c>
      <c r="Y246" t="str">
        <v>Marketing</v>
      </c>
      <c r="Z246">
        <v>37362.300000000003</v>
      </c>
      <c r="AA246" t="str">
        <v>Under 50k</v>
      </c>
      <c r="AB246" s="57">
        <v>43642</v>
      </c>
      <c r="AC246">
        <v>1</v>
      </c>
      <c r="AD246" t="str">
        <v>Permanent</v>
      </c>
      <c r="AE246" t="str">
        <v>Auckland, New Zealand</v>
      </c>
      <c r="AF246">
        <v>4.9917808219178079</v>
      </c>
      <c r="AG246" t="str">
        <v>Full time</v>
      </c>
    </row>
    <row r="247" spans="9:33" x14ac:dyDescent="0.25">
      <c r="I247" s="57"/>
      <c r="U247" t="str">
        <v>VT03500</v>
      </c>
      <c r="V247" t="str">
        <v>Shiuli</v>
      </c>
      <c r="W247" t="str">
        <v>Sapna</v>
      </c>
      <c r="X247" t="str">
        <v>Male</v>
      </c>
      <c r="Y247" t="str">
        <v>Support</v>
      </c>
      <c r="Z247">
        <v>37062.1</v>
      </c>
      <c r="AA247" t="str">
        <v>Under 50k</v>
      </c>
      <c r="AB247" s="57">
        <v>44357</v>
      </c>
      <c r="AC247">
        <v>1</v>
      </c>
      <c r="AD247" t="str">
        <v>Temporary</v>
      </c>
      <c r="AE247" t="str">
        <v>Chennai, India</v>
      </c>
      <c r="AF247">
        <v>3.032876712328767</v>
      </c>
      <c r="AG247" t="str">
        <v>Full time</v>
      </c>
    </row>
    <row r="248" spans="9:33" x14ac:dyDescent="0.25">
      <c r="I248" s="57"/>
      <c r="U248" t="str">
        <v>PR03137</v>
      </c>
      <c r="V248" t="str">
        <v>Jagajeet</v>
      </c>
      <c r="W248" t="str">
        <v>Viraj</v>
      </c>
      <c r="X248" t="str">
        <v>Male</v>
      </c>
      <c r="Y248" t="str">
        <v>Support</v>
      </c>
      <c r="Z248">
        <v>36714.379999999997</v>
      </c>
      <c r="AA248" t="str">
        <v>Under 50k</v>
      </c>
      <c r="AB248" s="57">
        <v>44175</v>
      </c>
      <c r="AC248">
        <v>1</v>
      </c>
      <c r="AD248" t="str">
        <v>Permanent</v>
      </c>
      <c r="AE248" t="str">
        <v>Chennai, India</v>
      </c>
      <c r="AF248">
        <v>3.5315068493150683</v>
      </c>
      <c r="AG248" t="str">
        <v>Full time</v>
      </c>
    </row>
    <row r="249" spans="9:33" x14ac:dyDescent="0.25">
      <c r="I249" s="57"/>
      <c r="U249" t="str">
        <v>PR01956</v>
      </c>
      <c r="V249" t="str">
        <v>Jamesy</v>
      </c>
      <c r="W249" t="str">
        <v>O'Ferris</v>
      </c>
      <c r="X249" t="str">
        <v>Male</v>
      </c>
      <c r="Y249" t="str">
        <v>Accounting</v>
      </c>
      <c r="Z249">
        <v>36547.58</v>
      </c>
      <c r="AA249" t="str">
        <v>Under 50k</v>
      </c>
      <c r="AB249" s="57">
        <v>43416</v>
      </c>
      <c r="AC249">
        <v>1</v>
      </c>
      <c r="AD249" t="str">
        <v>Permanent</v>
      </c>
      <c r="AE249" t="str">
        <v>Remote</v>
      </c>
      <c r="AF249">
        <v>5.6109589041095891</v>
      </c>
      <c r="AG249" t="str">
        <v>Full time</v>
      </c>
    </row>
    <row r="250" spans="9:33" x14ac:dyDescent="0.25">
      <c r="I250" s="57"/>
      <c r="U250" t="str">
        <v>PR01956</v>
      </c>
      <c r="V250" t="str">
        <v>Jamesy</v>
      </c>
      <c r="W250" t="str">
        <v>O'Ferris</v>
      </c>
      <c r="X250" t="str">
        <v>Male</v>
      </c>
      <c r="Y250" t="str">
        <v>Accounting</v>
      </c>
      <c r="Z250">
        <v>36547.58</v>
      </c>
      <c r="AA250" t="str">
        <v>Under 50k</v>
      </c>
      <c r="AB250" s="57">
        <v>43416</v>
      </c>
      <c r="AC250">
        <v>1</v>
      </c>
      <c r="AD250" t="str">
        <v>Permanent</v>
      </c>
      <c r="AE250" t="str">
        <v>Remote</v>
      </c>
      <c r="AF250">
        <v>5.6109589041095891</v>
      </c>
      <c r="AG250" t="str">
        <v>Full time</v>
      </c>
    </row>
    <row r="251" spans="9:33" x14ac:dyDescent="0.25">
      <c r="I251" s="57"/>
      <c r="U251" t="str">
        <v>VT03552</v>
      </c>
      <c r="V251" t="str">
        <v>Kamalakshi</v>
      </c>
      <c r="W251" t="str">
        <v>Mukundan</v>
      </c>
      <c r="X251" t="str">
        <v>Male</v>
      </c>
      <c r="Y251" t="str">
        <v>Engineering</v>
      </c>
      <c r="Z251">
        <v>36536.26</v>
      </c>
      <c r="AA251" t="str">
        <v>Under 50k</v>
      </c>
      <c r="AB251" s="57">
        <v>44358</v>
      </c>
      <c r="AC251">
        <v>1</v>
      </c>
      <c r="AD251" t="str">
        <v>Temporary</v>
      </c>
      <c r="AE251" t="str">
        <v>Hyderabad, India</v>
      </c>
      <c r="AF251">
        <v>3.0301369863013701</v>
      </c>
      <c r="AG251" t="str">
        <v>Full time</v>
      </c>
    </row>
    <row r="252" spans="9:33" x14ac:dyDescent="0.25">
      <c r="I252" s="57"/>
      <c r="U252" t="str">
        <v>PR03844</v>
      </c>
      <c r="V252" t="str">
        <v>Brose</v>
      </c>
      <c r="W252" t="str">
        <v>MacCorkell</v>
      </c>
      <c r="X252" t="str">
        <v>Female</v>
      </c>
      <c r="Y252" t="str">
        <v>Human Resources</v>
      </c>
      <c r="Z252">
        <v>35943.620000000003</v>
      </c>
      <c r="AA252" t="str">
        <v>Under 50k</v>
      </c>
      <c r="AB252" s="57">
        <v>44078</v>
      </c>
      <c r="AC252">
        <v>1</v>
      </c>
      <c r="AD252" t="str">
        <v>Permanent</v>
      </c>
      <c r="AE252" t="str">
        <v>Columbus, USA</v>
      </c>
      <c r="AF252">
        <v>3.7972602739726029</v>
      </c>
      <c r="AG252" t="str">
        <v>Full time</v>
      </c>
    </row>
    <row r="253" spans="9:33" x14ac:dyDescent="0.25">
      <c r="I253" s="57"/>
      <c r="U253" t="str">
        <v>PR01055</v>
      </c>
      <c r="V253" t="str">
        <v>Devasree</v>
      </c>
      <c r="W253" t="str">
        <v>Fullara</v>
      </c>
      <c r="X253" t="str">
        <v>Male</v>
      </c>
      <c r="Y253" t="str">
        <v>Accounting</v>
      </c>
      <c r="Z253">
        <v>35936.31</v>
      </c>
      <c r="AA253" t="str">
        <v>Under 50k</v>
      </c>
      <c r="AB253" s="57">
        <v>43241</v>
      </c>
      <c r="AC253">
        <v>1</v>
      </c>
      <c r="AD253" t="str">
        <v>Permanent</v>
      </c>
      <c r="AE253" t="str">
        <v>Chennai, India</v>
      </c>
      <c r="AF253">
        <v>6.0904109589041093</v>
      </c>
      <c r="AG253" t="str">
        <v>Full time</v>
      </c>
    </row>
    <row r="254" spans="9:33" x14ac:dyDescent="0.25">
      <c r="I254" s="57"/>
      <c r="U254" t="str">
        <v>TN02798</v>
      </c>
      <c r="V254" t="str">
        <v>Krittika</v>
      </c>
      <c r="W254" t="str">
        <v>Gaekwad</v>
      </c>
      <c r="X254" t="str">
        <v>Female</v>
      </c>
      <c r="Y254" t="str">
        <v>Business Development</v>
      </c>
      <c r="Z254">
        <v>33031.26</v>
      </c>
      <c r="AA254" t="str">
        <v>Under 50k</v>
      </c>
      <c r="AB254" s="57">
        <v>43468</v>
      </c>
      <c r="AC254">
        <v>0.4</v>
      </c>
      <c r="AD254" t="str">
        <v>Permanent</v>
      </c>
      <c r="AE254" t="str">
        <v>Hyderabad, India</v>
      </c>
      <c r="AF254">
        <v>5.4684931506849317</v>
      </c>
      <c r="AG254" t="str">
        <v>Part time</v>
      </c>
    </row>
    <row r="255" spans="9:33" x14ac:dyDescent="0.25">
      <c r="I255" s="57"/>
      <c r="U255" t="str">
        <v>VT02532</v>
      </c>
      <c r="V255" t="str">
        <v>Adey</v>
      </c>
      <c r="W255" t="str">
        <v>Ryal</v>
      </c>
      <c r="X255" t="str">
        <v>Female</v>
      </c>
      <c r="Y255" t="str">
        <v>Legal</v>
      </c>
      <c r="Z255">
        <v>32496.880000000001</v>
      </c>
      <c r="AA255" t="str">
        <v>Under 50k</v>
      </c>
      <c r="AB255" s="57">
        <v>43234</v>
      </c>
      <c r="AC255">
        <v>1</v>
      </c>
      <c r="AD255" t="str">
        <v>Temporary</v>
      </c>
      <c r="AE255" t="str">
        <v>Remote</v>
      </c>
      <c r="AF255">
        <v>6.1095890410958908</v>
      </c>
      <c r="AG255" t="str">
        <v>Full time</v>
      </c>
    </row>
    <row r="256" spans="9:33" x14ac:dyDescent="0.25">
      <c r="I256" s="57"/>
      <c r="U256" t="str">
        <v>SQ01730</v>
      </c>
      <c r="V256" t="str">
        <v>Austine</v>
      </c>
      <c r="W256" t="str">
        <v>Littlewood</v>
      </c>
      <c r="X256" t="str">
        <v>Female</v>
      </c>
      <c r="Y256" t="str">
        <v>Services</v>
      </c>
      <c r="Z256">
        <v>32269.91</v>
      </c>
      <c r="AA256" t="str">
        <v>Under 50k</v>
      </c>
      <c r="AB256" s="57">
        <v>43346</v>
      </c>
      <c r="AC256">
        <v>1</v>
      </c>
      <c r="AD256" t="str">
        <v>Permanent</v>
      </c>
      <c r="AE256" t="str">
        <v>Remote</v>
      </c>
      <c r="AF256">
        <v>5.8027397260273972</v>
      </c>
      <c r="AG256" t="str">
        <v>Full time</v>
      </c>
    </row>
    <row r="257" spans="9:33" x14ac:dyDescent="0.25">
      <c r="I257" s="57"/>
      <c r="U257" t="str">
        <v>PR03034</v>
      </c>
      <c r="V257" t="str">
        <v>Sreenivasa</v>
      </c>
      <c r="W257" t="str">
        <v>Naik</v>
      </c>
      <c r="X257" t="str">
        <v>Male</v>
      </c>
      <c r="Y257" t="str">
        <v>Sales</v>
      </c>
      <c r="Z257">
        <v>32192.15</v>
      </c>
      <c r="AA257" t="str">
        <v>Under 50k</v>
      </c>
      <c r="AB257" s="57">
        <v>44473</v>
      </c>
      <c r="AC257">
        <v>1</v>
      </c>
      <c r="AD257" t="str">
        <v>Permanent</v>
      </c>
      <c r="AE257" t="str">
        <v>Hyderabad, India</v>
      </c>
      <c r="AF257">
        <v>2.7150684931506848</v>
      </c>
      <c r="AG257" t="str">
        <v>Full time</v>
      </c>
    </row>
    <row r="258" spans="9:33" x14ac:dyDescent="0.25">
      <c r="I258" s="57"/>
      <c r="U258" t="str">
        <v>TN03097</v>
      </c>
      <c r="V258" t="str">
        <v>Bendite</v>
      </c>
      <c r="W258" t="str">
        <v>Bloan</v>
      </c>
      <c r="X258" t="str">
        <v>Male</v>
      </c>
      <c r="Y258" t="str">
        <v>Marketing</v>
      </c>
      <c r="Z258">
        <v>31816.57</v>
      </c>
      <c r="AA258" t="str">
        <v>Under 50k</v>
      </c>
      <c r="AB258" s="57">
        <v>43497</v>
      </c>
      <c r="AC258">
        <v>0.3</v>
      </c>
      <c r="AD258" t="str">
        <v>Fixed Term</v>
      </c>
      <c r="AE258" t="str">
        <v>Remote</v>
      </c>
      <c r="AF258">
        <v>5.3890410958904109</v>
      </c>
      <c r="AG258" t="str">
        <v>Part time</v>
      </c>
    </row>
    <row r="259" spans="9:33" x14ac:dyDescent="0.25">
      <c r="I259" s="57"/>
      <c r="U259" t="str">
        <v>SQ01829</v>
      </c>
      <c r="V259" t="str">
        <v>Mabel</v>
      </c>
      <c r="W259" t="str">
        <v>Orrow</v>
      </c>
      <c r="X259" t="str">
        <v>Male</v>
      </c>
      <c r="Y259" t="str">
        <v>Product Management</v>
      </c>
      <c r="Z259">
        <v>31241.24</v>
      </c>
      <c r="AA259" t="str">
        <v>Under 50k</v>
      </c>
      <c r="AB259" s="57">
        <v>43725</v>
      </c>
      <c r="AC259">
        <v>1</v>
      </c>
      <c r="AD259" t="str">
        <v>Permanent</v>
      </c>
      <c r="AE259" t="str">
        <v>Remote</v>
      </c>
      <c r="AF259">
        <v>4.7643835616438359</v>
      </c>
      <c r="AG259" t="str">
        <v>Full time</v>
      </c>
    </row>
    <row r="260" spans="9:33" x14ac:dyDescent="0.25">
      <c r="I260" s="57"/>
      <c r="U260" t="str">
        <v>VT01740</v>
      </c>
      <c r="V260" t="str">
        <v>Ginger</v>
      </c>
      <c r="W260" t="str">
        <v>Myott</v>
      </c>
      <c r="X260" t="str">
        <v>Female</v>
      </c>
      <c r="Y260" t="str">
        <v>Services</v>
      </c>
      <c r="Z260">
        <v>31172.77</v>
      </c>
      <c r="AA260" t="str">
        <v>Under 50k</v>
      </c>
      <c r="AB260" s="57">
        <v>43665</v>
      </c>
      <c r="AC260">
        <v>1</v>
      </c>
      <c r="AD260" t="str">
        <v>Fixed Term</v>
      </c>
      <c r="AE260" t="str">
        <v>Remote</v>
      </c>
      <c r="AF260">
        <v>4.9287671232876713</v>
      </c>
      <c r="AG260" t="str">
        <v>Full time</v>
      </c>
    </row>
    <row r="261" spans="9:33" x14ac:dyDescent="0.25">
      <c r="I261" s="57"/>
      <c r="U261" t="str">
        <v>TN04775</v>
      </c>
      <c r="V261" t="str">
        <v>Hridaynath</v>
      </c>
      <c r="W261" t="str">
        <v>Tendulkar</v>
      </c>
      <c r="X261" t="str">
        <v>Female</v>
      </c>
      <c r="Y261" t="str">
        <v>Legal</v>
      </c>
      <c r="Z261">
        <v>31089.22</v>
      </c>
      <c r="AA261" t="str">
        <v>Under 50k</v>
      </c>
      <c r="AB261" s="57">
        <v>43776</v>
      </c>
      <c r="AC261">
        <v>1</v>
      </c>
      <c r="AD261" t="str">
        <v>Fixed Term</v>
      </c>
      <c r="AE261" t="str">
        <v>Chennai, India</v>
      </c>
      <c r="AF261">
        <v>4.624657534246575</v>
      </c>
      <c r="AG261" t="str">
        <v>Full time</v>
      </c>
    </row>
    <row r="262" spans="9:33" x14ac:dyDescent="0.25">
      <c r="I262" s="57"/>
      <c r="U262" t="str">
        <v>VT01249</v>
      </c>
      <c r="V262" t="str">
        <v>Brendan</v>
      </c>
      <c r="W262" t="str">
        <v>Edgeller</v>
      </c>
      <c r="X262" t="str">
        <v>Female</v>
      </c>
      <c r="Y262" t="str">
        <v>Legal</v>
      </c>
      <c r="Z262">
        <v>31042.51</v>
      </c>
      <c r="AA262" t="str">
        <v>Under 50k</v>
      </c>
      <c r="AB262" s="57">
        <v>44473</v>
      </c>
      <c r="AC262">
        <v>0.3</v>
      </c>
      <c r="AD262" t="str">
        <v>Fixed Term</v>
      </c>
      <c r="AE262" t="str">
        <v>Remote</v>
      </c>
      <c r="AF262">
        <v>2.7150684931506848</v>
      </c>
      <c r="AG262" t="str">
        <v>Part time</v>
      </c>
    </row>
    <row r="263" spans="9:33" x14ac:dyDescent="0.25">
      <c r="I263" s="57"/>
      <c r="U263" t="str">
        <v>TN01396</v>
      </c>
      <c r="V263" t="str">
        <v>Koral</v>
      </c>
      <c r="W263" t="str">
        <v>Gerriet</v>
      </c>
      <c r="X263" t="str">
        <v>Male</v>
      </c>
      <c r="Y263" t="str">
        <v>Support</v>
      </c>
      <c r="Z263">
        <v>30077.45</v>
      </c>
      <c r="AA263" t="str">
        <v>Under 50k</v>
      </c>
      <c r="AB263" s="57">
        <v>43474</v>
      </c>
      <c r="AC263">
        <v>1</v>
      </c>
      <c r="AD263" t="str">
        <v>Permanent</v>
      </c>
      <c r="AE263" t="str">
        <v>Wellington, New Zealand</v>
      </c>
      <c r="AF263">
        <v>5.4520547945205475</v>
      </c>
      <c r="AG263" t="str">
        <v>Full time</v>
      </c>
    </row>
    <row r="264" spans="9:33" x14ac:dyDescent="0.25">
      <c r="I264" s="57"/>
      <c r="U264" t="str">
        <v>VT04905</v>
      </c>
      <c r="V264" t="str">
        <v>Suchira</v>
      </c>
      <c r="W264" t="str">
        <v>Bhanupriya</v>
      </c>
      <c r="X264" t="str">
        <v>Female</v>
      </c>
      <c r="Y264" t="str">
        <v>Human Resources</v>
      </c>
      <c r="Z264">
        <v>29808.07</v>
      </c>
      <c r="AA264" t="str">
        <v>Under 50k</v>
      </c>
      <c r="AB264" s="57">
        <v>43291</v>
      </c>
      <c r="AC264">
        <v>0.3</v>
      </c>
      <c r="AD264" t="str">
        <v>Temporary</v>
      </c>
      <c r="AE264" t="str">
        <v>Hyderabad, India</v>
      </c>
      <c r="AF264">
        <v>5.9534246575342467</v>
      </c>
      <c r="AG264" t="str">
        <v>Part time</v>
      </c>
    </row>
    <row r="265" spans="9:33" x14ac:dyDescent="0.25">
      <c r="I265" s="57"/>
      <c r="U265" t="str">
        <v>PR00770</v>
      </c>
      <c r="V265" t="str">
        <v>Beryl</v>
      </c>
      <c r="W265" t="str">
        <v>Burnsyde</v>
      </c>
      <c r="X265" t="str">
        <v>Male</v>
      </c>
      <c r="Y265" t="str">
        <v>Legal</v>
      </c>
      <c r="Z265">
        <v>29774.76</v>
      </c>
      <c r="AA265" t="str">
        <v>Under 50k</v>
      </c>
      <c r="AB265" s="57">
        <v>44105</v>
      </c>
      <c r="AC265">
        <v>1</v>
      </c>
      <c r="AD265" t="str">
        <v>Permanent</v>
      </c>
      <c r="AE265" t="str">
        <v>Wellington, New Zealand</v>
      </c>
      <c r="AF265">
        <v>3.7232876712328768</v>
      </c>
      <c r="AG265" t="str">
        <v>Full time</v>
      </c>
    </row>
    <row r="266" spans="9:33" x14ac:dyDescent="0.25">
      <c r="I266" s="57"/>
      <c r="U266" t="str">
        <v>TN02727</v>
      </c>
      <c r="V266" t="str">
        <v>Wald</v>
      </c>
      <c r="W266" t="str">
        <v>Bountiff</v>
      </c>
      <c r="X266" t="str">
        <v>Female</v>
      </c>
      <c r="Y266" t="str">
        <v>Support</v>
      </c>
      <c r="Z266">
        <v>28974.03</v>
      </c>
      <c r="AA266" t="str">
        <v>Under 50k</v>
      </c>
      <c r="AB266" s="57">
        <v>43733</v>
      </c>
      <c r="AC266">
        <v>1</v>
      </c>
      <c r="AD266" t="str">
        <v>Permanent</v>
      </c>
      <c r="AE266" t="str">
        <v>Auckland, New Zealand</v>
      </c>
      <c r="AF266">
        <v>4.7424657534246579</v>
      </c>
      <c r="AG266" t="str">
        <v>Full time</v>
      </c>
    </row>
    <row r="267" spans="9:33" x14ac:dyDescent="0.25">
      <c r="I267" s="57"/>
      <c r="U267" t="str">
        <v>TN01256</v>
      </c>
      <c r="V267" t="str">
        <v>Shattesh</v>
      </c>
      <c r="W267" t="str">
        <v>Utpat</v>
      </c>
      <c r="X267" t="str">
        <v>Male</v>
      </c>
      <c r="Y267" t="str">
        <v>Legal</v>
      </c>
      <c r="Z267">
        <v>28481.16</v>
      </c>
      <c r="AA267" t="str">
        <v>Under 50k</v>
      </c>
      <c r="AB267" s="57">
        <v>43916</v>
      </c>
      <c r="AC267">
        <v>1</v>
      </c>
      <c r="AD267" t="str">
        <v>Permanent</v>
      </c>
      <c r="AE267" t="str">
        <v>Hyderabad, India</v>
      </c>
      <c r="AF267">
        <v>4.2410958904109588</v>
      </c>
      <c r="AG267" t="str">
        <v>Full time</v>
      </c>
    </row>
    <row r="268" spans="9:33" x14ac:dyDescent="0.25">
      <c r="I268" s="57"/>
      <c r="U268" t="str">
        <v>TN01256</v>
      </c>
      <c r="V268" t="str">
        <v>Sawini</v>
      </c>
      <c r="W268" t="str">
        <v>Chandan</v>
      </c>
      <c r="X268" t="str">
        <v>Male</v>
      </c>
      <c r="Y268" t="str">
        <v>Legal</v>
      </c>
      <c r="Z268">
        <v>28481.16</v>
      </c>
      <c r="AA268" t="str">
        <v>Under 50k</v>
      </c>
      <c r="AB268" s="57">
        <v>43916</v>
      </c>
      <c r="AC268">
        <v>1</v>
      </c>
      <c r="AD268" t="str">
        <v>Permanent</v>
      </c>
      <c r="AE268" t="str">
        <v>Hyderabad, India</v>
      </c>
      <c r="AF268">
        <v>4.2410958904109588</v>
      </c>
      <c r="AG268" t="str">
        <v>Full time</v>
      </c>
    </row>
    <row r="269" spans="9:33" x14ac:dyDescent="0.25">
      <c r="I269" s="57"/>
      <c r="U269" t="str">
        <v>VT02663</v>
      </c>
      <c r="V269" t="str">
        <v>Sravanthi</v>
      </c>
      <c r="W269" t="str">
        <v>Chalaki</v>
      </c>
      <c r="X269" t="str">
        <v>Male</v>
      </c>
      <c r="Y269" t="str">
        <v>Legal</v>
      </c>
      <c r="Z269">
        <v>28481.16</v>
      </c>
      <c r="AA269" t="str">
        <v>Under 50k</v>
      </c>
      <c r="AB269" s="57">
        <v>44228</v>
      </c>
      <c r="AC269">
        <v>1</v>
      </c>
      <c r="AD269" t="str">
        <v>Temporary</v>
      </c>
      <c r="AE269" t="str">
        <v>Chennai, India</v>
      </c>
      <c r="AF269">
        <v>3.3863013698630136</v>
      </c>
      <c r="AG269" t="str">
        <v>Full time</v>
      </c>
    </row>
    <row r="270" spans="9:33" x14ac:dyDescent="0.25">
      <c r="I270" s="57"/>
      <c r="U270" t="str">
        <v>TN02397</v>
      </c>
      <c r="V270" t="str">
        <v>Mendel</v>
      </c>
      <c r="W270" t="str">
        <v>Gentsch</v>
      </c>
      <c r="X270" t="str">
        <v>Male</v>
      </c>
      <c r="Y270" t="str">
        <v>Human Resources</v>
      </c>
      <c r="Z270">
        <v>28329.77</v>
      </c>
      <c r="AA270" t="str">
        <v>Under 50k</v>
      </c>
      <c r="AB270" s="57">
        <v>43402</v>
      </c>
      <c r="AC270">
        <v>1</v>
      </c>
      <c r="AD270" t="str">
        <v>Permanent</v>
      </c>
      <c r="AE270" t="str">
        <v>Seattle, USA</v>
      </c>
      <c r="AF270">
        <v>5.6493150684931503</v>
      </c>
      <c r="AG270" t="str">
        <v>Full time</v>
      </c>
    </row>
    <row r="271" spans="9:33" x14ac:dyDescent="0.25">
      <c r="I271" s="57"/>
      <c r="U271" t="str">
        <v>SQ04437</v>
      </c>
      <c r="V271" t="str">
        <v>Hephzibah</v>
      </c>
      <c r="W271" t="str">
        <v>Summerell</v>
      </c>
      <c r="X271" t="str">
        <v>Female</v>
      </c>
      <c r="Y271" t="str">
        <v>Services</v>
      </c>
      <c r="Z271">
        <v>28305.08</v>
      </c>
      <c r="AA271" t="str">
        <v>Under 50k</v>
      </c>
      <c r="AB271" s="57">
        <v>43754</v>
      </c>
      <c r="AC271">
        <v>1</v>
      </c>
      <c r="AD271" t="str">
        <v>Permanent</v>
      </c>
      <c r="AE271" t="str">
        <v>Remote</v>
      </c>
      <c r="AF271">
        <v>4.6849315068493151</v>
      </c>
      <c r="AG271" t="str">
        <v>Full time</v>
      </c>
    </row>
    <row r="272" spans="9:33" x14ac:dyDescent="0.25">
      <c r="I272" s="57"/>
      <c r="U272" t="str">
        <v>VT04373</v>
      </c>
      <c r="V272" t="str">
        <v>Edi</v>
      </c>
      <c r="W272" t="str">
        <v>Hofton</v>
      </c>
      <c r="X272" t="str">
        <v>Male</v>
      </c>
      <c r="Y272" t="str">
        <v>Research and Development</v>
      </c>
      <c r="Z272">
        <v>28160.79</v>
      </c>
      <c r="AA272" t="str">
        <v>Under 50k</v>
      </c>
      <c r="AB272" s="57">
        <v>43129</v>
      </c>
      <c r="AC272">
        <v>1</v>
      </c>
      <c r="AD272" t="str">
        <v>Temporary</v>
      </c>
      <c r="AE272" t="str">
        <v>Remote</v>
      </c>
      <c r="AF272">
        <v>6.397260273972603</v>
      </c>
      <c r="AG272" t="str">
        <v>Full time</v>
      </c>
    </row>
    <row r="273" spans="9:9" x14ac:dyDescent="0.25">
      <c r="I273" s="57"/>
    </row>
    <row r="274" spans="9:9" x14ac:dyDescent="0.25">
      <c r="I274" s="57"/>
    </row>
    <row r="275" spans="9:9" x14ac:dyDescent="0.25">
      <c r="I275" s="57"/>
    </row>
  </sheetData>
  <mergeCells count="7">
    <mergeCell ref="AK30:AQ30"/>
    <mergeCell ref="AL58:AS58"/>
    <mergeCell ref="B5:C5"/>
    <mergeCell ref="C9:D9"/>
    <mergeCell ref="C14:D14"/>
    <mergeCell ref="F14:O14"/>
    <mergeCell ref="AL12:AP12"/>
  </mergeCells>
  <dataValidations count="2">
    <dataValidation type="list" allowBlank="1" showInputMessage="1" showErrorMessage="1" sqref="AK59" xr:uid="{6F3131AD-2896-4371-8CC6-8E8D8728BB26}">
      <formula1>"Male, Female"</formula1>
    </dataValidation>
    <dataValidation type="list" allowBlank="1" showInputMessage="1" showErrorMessage="1" sqref="AN59" xr:uid="{53030CAE-92AF-4BFF-9D2B-9FB6C03B0EF8}">
      <formula1>"1, 2, 3, 4, 5, 6"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A5C8-6C93-444A-8F37-15B957886A99}">
  <sheetPr>
    <tabColor rgb="FF0070C0"/>
  </sheetPr>
  <dimension ref="A1:AB266"/>
  <sheetViews>
    <sheetView zoomScale="94" workbookViewId="0">
      <selection activeCell="I5" sqref="I5"/>
    </sheetView>
  </sheetViews>
  <sheetFormatPr defaultRowHeight="15" x14ac:dyDescent="0.25"/>
  <cols>
    <col min="2" max="2" width="24.42578125" customWidth="1"/>
    <col min="3" max="3" width="14" customWidth="1"/>
    <col min="4" max="4" width="46.28515625" customWidth="1"/>
    <col min="5" max="5" width="35.140625" customWidth="1"/>
    <col min="6" max="6" width="9.7109375" customWidth="1"/>
    <col min="7" max="7" width="26.85546875" customWidth="1"/>
    <col min="8" max="8" width="15.28515625" customWidth="1"/>
    <col min="9" max="9" width="14.42578125" customWidth="1"/>
    <col min="13" max="13" width="8.42578125" bestFit="1" customWidth="1"/>
    <col min="14" max="14" width="13.85546875" bestFit="1" customWidth="1"/>
    <col min="15" max="15" width="14.85546875" bestFit="1" customWidth="1"/>
    <col min="16" max="16" width="13.7109375" bestFit="1" customWidth="1"/>
    <col min="17" max="17" width="25.85546875" bestFit="1" customWidth="1"/>
    <col min="18" max="18" width="10" bestFit="1" customWidth="1"/>
    <col min="19" max="19" width="11.140625" bestFit="1" customWidth="1"/>
    <col min="20" max="20" width="6" bestFit="1" customWidth="1"/>
    <col min="21" max="21" width="4" bestFit="1" customWidth="1"/>
    <col min="22" max="22" width="10.85546875" bestFit="1" customWidth="1"/>
    <col min="23" max="23" width="23.85546875" bestFit="1" customWidth="1"/>
    <col min="24" max="24" width="12" bestFit="1" customWidth="1"/>
    <col min="27" max="27" width="25.85546875" bestFit="1" customWidth="1"/>
    <col min="28" max="28" width="11.85546875" bestFit="1" customWidth="1"/>
  </cols>
  <sheetData>
    <row r="1" spans="1:28" ht="39" customHeight="1" x14ac:dyDescent="0.25">
      <c r="A1">
        <v>10</v>
      </c>
      <c r="B1" t="s">
        <v>830</v>
      </c>
      <c r="E1" s="61" t="s">
        <v>757</v>
      </c>
      <c r="F1" s="61"/>
      <c r="G1" s="60" t="s">
        <v>767</v>
      </c>
    </row>
    <row r="4" spans="1:28" x14ac:dyDescent="0.25">
      <c r="I4" t="s">
        <v>15</v>
      </c>
    </row>
    <row r="5" spans="1:28" x14ac:dyDescent="0.25">
      <c r="B5" s="62" t="s">
        <v>831</v>
      </c>
      <c r="C5" s="62">
        <f>COUNTA(staff[Emp ID])</f>
        <v>260</v>
      </c>
      <c r="D5" s="76">
        <f>AVERAGE(staff[Salary])</f>
        <v>73861.325230769231</v>
      </c>
      <c r="E5" s="74"/>
      <c r="F5" s="74"/>
      <c r="G5" s="77">
        <f>MAX(staff[Salary])</f>
        <v>120000</v>
      </c>
      <c r="H5" s="77">
        <f>MEDIAN(staff[Salary])</f>
        <v>73360.38</v>
      </c>
      <c r="I5" s="86">
        <f>COUNTIF(staff[Gender],I4)/COUNTA(staff[Gender])</f>
        <v>0.48846153846153845</v>
      </c>
      <c r="AA5" t="s">
        <v>838</v>
      </c>
      <c r="AB5" t="s">
        <v>15</v>
      </c>
    </row>
    <row r="6" spans="1:28" x14ac:dyDescent="0.25">
      <c r="B6" s="7"/>
      <c r="C6" s="7"/>
      <c r="D6" s="7"/>
      <c r="E6" s="7"/>
      <c r="F6" s="7"/>
      <c r="G6" s="7"/>
      <c r="M6" t="str" cm="1">
        <f t="array" ref="M6:Y6">staff[#Headers]</f>
        <v>Emp ID</v>
      </c>
      <c r="N6" t="str">
        <v>First Name</v>
      </c>
      <c r="O6" t="str">
        <v>Last Name</v>
      </c>
      <c r="P6" t="str">
        <v>Gender</v>
      </c>
      <c r="Q6" t="str">
        <v>Department</v>
      </c>
      <c r="R6" t="str">
        <v>Salary</v>
      </c>
      <c r="S6" t="str">
        <v>Salary Bucket</v>
      </c>
      <c r="T6" t="str">
        <v>Start Date</v>
      </c>
      <c r="U6" t="str">
        <v>FTE</v>
      </c>
      <c r="V6" t="str">
        <v>Employee type</v>
      </c>
      <c r="W6" t="str">
        <v>Work location</v>
      </c>
      <c r="X6" t="str">
        <v>Tenure</v>
      </c>
      <c r="Y6" t="str">
        <v>Work Type</v>
      </c>
      <c r="AA6" t="s">
        <v>4</v>
      </c>
      <c r="AB6" t="s">
        <v>837</v>
      </c>
    </row>
    <row r="7" spans="1:28" x14ac:dyDescent="0.25">
      <c r="B7" s="75" t="s">
        <v>4</v>
      </c>
      <c r="C7" s="75" t="s">
        <v>832</v>
      </c>
      <c r="D7" s="75" t="s">
        <v>833</v>
      </c>
      <c r="E7" s="75" t="s">
        <v>834</v>
      </c>
      <c r="F7" s="75"/>
      <c r="G7" s="75" t="s">
        <v>790</v>
      </c>
      <c r="H7" s="81" t="s">
        <v>836</v>
      </c>
      <c r="I7" s="81" t="s">
        <v>835</v>
      </c>
      <c r="M7" t="str" cm="1">
        <f t="array" ref="M7:Y266">staff[]</f>
        <v>PR00147</v>
      </c>
      <c r="N7" t="str">
        <v>Minerva</v>
      </c>
      <c r="O7" t="str">
        <v>Ricardot</v>
      </c>
      <c r="P7" t="str">
        <v>Male</v>
      </c>
      <c r="Q7" t="str">
        <v>Engineering</v>
      </c>
      <c r="R7">
        <v>120000</v>
      </c>
      <c r="S7" t="str">
        <v>Above 100k</v>
      </c>
      <c r="T7">
        <v>43416</v>
      </c>
      <c r="U7">
        <v>1</v>
      </c>
      <c r="V7" t="str">
        <v>Permanent</v>
      </c>
      <c r="W7" t="str">
        <v>Remote</v>
      </c>
      <c r="X7">
        <v>5.6109589041095891</v>
      </c>
      <c r="Y7" t="str">
        <v>Full time</v>
      </c>
      <c r="AA7" t="str" cm="1">
        <f t="array" ref="AA7:AA19">_xlfn._xlws.SORT(_xlfn.UNIQUE(staff[Department]),,1)</f>
        <v>Accounting</v>
      </c>
      <c r="AB7" s="83">
        <f>COUNTIFS(Q7:Q266,AA7,P7:P266,AB$5)/COUNTIF(Q7:Q266,AA7)</f>
        <v>0.57692307692307687</v>
      </c>
    </row>
    <row r="8" spans="1:28" x14ac:dyDescent="0.25">
      <c r="B8" s="55" t="str" cm="1">
        <f t="array" ref="B8:B20">_xlfn._xlws.SORT(_xlfn.UNIQUE(staff[Department]),,1)</f>
        <v>Accounting</v>
      </c>
      <c r="C8" s="55" cm="1">
        <f t="array" ref="C8:C20">COUNTIFS(staff[Department],_xlfn.ANCHORARRAY(B8))</f>
        <v>26</v>
      </c>
      <c r="D8" s="78" cm="1">
        <f t="array" ref="D8:D20">AVERAGEIFS(staff[Salary],staff[Department],_xlfn.ANCHORARRAY(B8))</f>
        <v>69806.945769230777</v>
      </c>
      <c r="E8" s="48" cm="1">
        <f t="array" ref="E8:E20">_xlfn.ANCHORARRAY(D8)-D5</f>
        <v>-4054.3794615384541</v>
      </c>
      <c r="F8" s="79" cm="1">
        <f t="array" ref="F8:F20">_xlfn.ANCHORARRAY(E8)</f>
        <v>-4054.3794615384541</v>
      </c>
      <c r="G8" s="80" cm="1">
        <f t="array" ref="G8:G20">_xlfn.MAXIFS(staff[Salary],staff[Department],_xlfn.ANCHORARRAY(B8))</f>
        <v>119022.49</v>
      </c>
      <c r="H8" s="48" cm="1">
        <f t="array" ref="H8">MEDIAN(_xlfn._xlws.FILTER(staff[Salary],staff[Department]=B8))</f>
        <v>69025.614999999991</v>
      </c>
      <c r="I8" s="84" cm="1">
        <f t="array" ref="I8:I20">COUNTIFS(staff[Department],_xlfn.ANCHORARRAY(B8),staff[Gender],"Female")/COUNTIF(staff[Department],_xlfn.ANCHORARRAY(B8))</f>
        <v>0.34615384615384615</v>
      </c>
      <c r="M8" t="str">
        <v>SQ04612</v>
      </c>
      <c r="N8" t="str">
        <v>Mick</v>
      </c>
      <c r="O8" t="str">
        <v>Spraberry</v>
      </c>
      <c r="P8" t="str">
        <v>Female</v>
      </c>
      <c r="Q8" t="str">
        <v>Services</v>
      </c>
      <c r="R8">
        <v>120000</v>
      </c>
      <c r="S8" t="str">
        <v>Above 100k</v>
      </c>
      <c r="T8">
        <v>43902</v>
      </c>
      <c r="U8">
        <v>0.9</v>
      </c>
      <c r="V8" t="str">
        <v>Permanent</v>
      </c>
      <c r="W8" t="str">
        <v>Remote</v>
      </c>
      <c r="X8">
        <v>4.279452054794521</v>
      </c>
      <c r="Y8" t="str">
        <v>Part time</v>
      </c>
      <c r="AA8" t="str">
        <v>Business Development</v>
      </c>
      <c r="AB8" s="83">
        <f t="shared" ref="AB8:AB19" si="0">COUNTIFS(Q8:Q267,AA8,P8:P267,AB$5)/COUNTIF(Q8:Q267,AA8)</f>
        <v>0.6</v>
      </c>
    </row>
    <row r="9" spans="1:28" x14ac:dyDescent="0.25">
      <c r="B9" s="55" t="str">
        <v>Business Development</v>
      </c>
      <c r="C9" s="55">
        <v>25</v>
      </c>
      <c r="D9" s="78">
        <v>79745.248399999997</v>
      </c>
      <c r="E9" s="48">
        <v>5883.9231692307658</v>
      </c>
      <c r="F9" s="79">
        <v>5883.9231692307658</v>
      </c>
      <c r="G9" s="80">
        <v>110042.37</v>
      </c>
      <c r="H9" s="48" cm="1">
        <f t="array" ref="H9">MEDIAN(_xlfn._xlws.FILTER(staff[Salary],staff[Department]=B9))</f>
        <v>80695.740000000005</v>
      </c>
      <c r="I9" s="84">
        <v>0.4</v>
      </c>
      <c r="K9" s="85">
        <f>COUNTIF(staff[Gender],"Female")</f>
        <v>125</v>
      </c>
      <c r="M9" t="str">
        <v>PR03886</v>
      </c>
      <c r="N9" t="str">
        <v>Edd</v>
      </c>
      <c r="O9" t="str">
        <v>MacKnockiter</v>
      </c>
      <c r="P9" t="str">
        <v>Male</v>
      </c>
      <c r="Q9" t="str">
        <v>Accounting</v>
      </c>
      <c r="R9">
        <v>119022.49</v>
      </c>
      <c r="S9" t="str">
        <v>Above 100k</v>
      </c>
      <c r="T9">
        <v>44431</v>
      </c>
      <c r="U9">
        <v>1</v>
      </c>
      <c r="V9" t="str">
        <v>Permanent</v>
      </c>
      <c r="W9" t="str">
        <v>Auckland, New Zealand</v>
      </c>
      <c r="X9">
        <v>2.8301369863013699</v>
      </c>
      <c r="Y9" t="str">
        <v>Full time</v>
      </c>
      <c r="AA9" t="str">
        <v>Business Growth</v>
      </c>
      <c r="AB9" s="83">
        <f t="shared" si="0"/>
        <v>0</v>
      </c>
    </row>
    <row r="10" spans="1:28" x14ac:dyDescent="0.25">
      <c r="B10" s="55" t="str">
        <v>Business Growth</v>
      </c>
      <c r="C10" s="55">
        <v>1</v>
      </c>
      <c r="D10" s="78">
        <v>80695.740000000005</v>
      </c>
      <c r="E10" s="48">
        <v>6834.4147692307743</v>
      </c>
      <c r="F10" s="79">
        <v>6834.4147692307743</v>
      </c>
      <c r="G10" s="80">
        <v>80695.740000000005</v>
      </c>
      <c r="H10" s="48" cm="1">
        <f t="array" ref="H10">MEDIAN(_xlfn._xlws.FILTER(staff[Salary],staff[Department]=B10))</f>
        <v>80695.740000000005</v>
      </c>
      <c r="I10" s="84">
        <v>1</v>
      </c>
      <c r="K10">
        <f>COUNTA(staff[Gender])</f>
        <v>260</v>
      </c>
      <c r="M10" t="str">
        <v>SQ00144</v>
      </c>
      <c r="N10" t="str">
        <v>Collen</v>
      </c>
      <c r="O10" t="str">
        <v>Dunbleton</v>
      </c>
      <c r="P10" t="str">
        <v>Male</v>
      </c>
      <c r="Q10" t="str">
        <v>Engineering</v>
      </c>
      <c r="R10">
        <v>118976.16</v>
      </c>
      <c r="S10" t="str">
        <v>Above 100k</v>
      </c>
      <c r="T10">
        <v>44120</v>
      </c>
      <c r="U10">
        <v>1</v>
      </c>
      <c r="V10" t="str">
        <v>Permanent</v>
      </c>
      <c r="W10" t="str">
        <v>Wellington, New Zealand</v>
      </c>
      <c r="X10">
        <v>3.6821917808219178</v>
      </c>
      <c r="Y10" t="str">
        <v>Full time</v>
      </c>
      <c r="AA10" t="str">
        <v>Engineering</v>
      </c>
      <c r="AB10" s="83">
        <f t="shared" si="0"/>
        <v>0.6</v>
      </c>
    </row>
    <row r="11" spans="1:28" x14ac:dyDescent="0.25">
      <c r="B11" s="55" t="str">
        <v>Engineering</v>
      </c>
      <c r="C11" s="55">
        <v>26</v>
      </c>
      <c r="D11" s="78">
        <v>81976.441923076927</v>
      </c>
      <c r="E11" s="48">
        <v>8115.1166923076962</v>
      </c>
      <c r="F11" s="79">
        <v>8115.1166923076962</v>
      </c>
      <c r="G11" s="80">
        <v>120000</v>
      </c>
      <c r="H11" s="48" cm="1">
        <f t="array" ref="H11">MEDIAN(_xlfn._xlws.FILTER(staff[Salary],staff[Department]=B11))</f>
        <v>85332.304999999993</v>
      </c>
      <c r="I11" s="84">
        <v>0.38461538461538464</v>
      </c>
      <c r="K11" s="82">
        <f>K9/K10</f>
        <v>0.48076923076923078</v>
      </c>
      <c r="M11" t="str">
        <v>SQ02174</v>
      </c>
      <c r="N11" t="str">
        <v>Sidoney</v>
      </c>
      <c r="O11" t="str">
        <v>Yitzhok</v>
      </c>
      <c r="P11" t="str">
        <v>Female</v>
      </c>
      <c r="Q11" t="str">
        <v>Engineering</v>
      </c>
      <c r="R11">
        <v>118442.54</v>
      </c>
      <c r="S11" t="str">
        <v>Above 100k</v>
      </c>
      <c r="T11">
        <v>44193</v>
      </c>
      <c r="U11">
        <v>1</v>
      </c>
      <c r="V11" t="str">
        <v>Permanent</v>
      </c>
      <c r="W11" t="str">
        <v>Auckland, New Zealand</v>
      </c>
      <c r="X11">
        <v>3.4821917808219176</v>
      </c>
      <c r="Y11" t="str">
        <v>Full time</v>
      </c>
      <c r="AA11" t="str">
        <v>Human Resources</v>
      </c>
      <c r="AB11" s="83">
        <f t="shared" si="0"/>
        <v>0.54545454545454541</v>
      </c>
    </row>
    <row r="12" spans="1:28" x14ac:dyDescent="0.25">
      <c r="B12" s="55" t="str">
        <v>Human Resources</v>
      </c>
      <c r="C12" s="55">
        <v>22</v>
      </c>
      <c r="D12" s="78">
        <v>73109.377727272731</v>
      </c>
      <c r="E12" s="48">
        <v>-751.94750349649985</v>
      </c>
      <c r="F12" s="79">
        <v>-751.94750349649985</v>
      </c>
      <c r="G12" s="80">
        <v>103494.94</v>
      </c>
      <c r="H12" s="48" cm="1">
        <f t="array" ref="H12">MEDIAN(_xlfn._xlws.FILTER(staff[Salary],staff[Department]=B12))</f>
        <v>73182.794999999998</v>
      </c>
      <c r="I12" s="84">
        <v>0.31818181818181818</v>
      </c>
      <c r="M12" t="str">
        <v>VT04093</v>
      </c>
      <c r="N12" t="str">
        <v>Prasanna</v>
      </c>
      <c r="O12" t="str">
        <v>Lakshmi</v>
      </c>
      <c r="P12" t="str">
        <v>Female</v>
      </c>
      <c r="Q12" t="str">
        <v>Training</v>
      </c>
      <c r="R12">
        <v>116767.63</v>
      </c>
      <c r="S12" t="str">
        <v>Above 100k</v>
      </c>
      <c r="T12">
        <v>43949</v>
      </c>
      <c r="U12">
        <v>0.4</v>
      </c>
      <c r="V12" t="str">
        <v>Temporary</v>
      </c>
      <c r="W12" t="str">
        <v>Chennai, India</v>
      </c>
      <c r="X12">
        <v>4.1506849315068495</v>
      </c>
      <c r="Y12" t="str">
        <v>Part time</v>
      </c>
      <c r="AA12" t="str">
        <v>Legal</v>
      </c>
      <c r="AB12" s="83">
        <f t="shared" si="0"/>
        <v>0.61904761904761907</v>
      </c>
    </row>
    <row r="13" spans="1:28" x14ac:dyDescent="0.25">
      <c r="B13" s="55" t="str">
        <v>Legal</v>
      </c>
      <c r="C13" s="55">
        <v>21</v>
      </c>
      <c r="D13" s="78">
        <v>67242.517619047605</v>
      </c>
      <c r="E13" s="48">
        <v>-6618.807611721626</v>
      </c>
      <c r="F13" s="79">
        <v>-6618.807611721626</v>
      </c>
      <c r="G13" s="80">
        <v>113747.56</v>
      </c>
      <c r="H13" s="48" cm="1">
        <f t="array" ref="H13">MEDIAN(_xlfn._xlws.FILTER(staff[Salary],staff[Department]=B13))</f>
        <v>66572.58</v>
      </c>
      <c r="I13" s="84">
        <v>0.33333333333333331</v>
      </c>
      <c r="M13" t="str">
        <v>VT04093</v>
      </c>
      <c r="N13" t="str">
        <v>Baruna</v>
      </c>
      <c r="O13" t="str">
        <v>Ogale</v>
      </c>
      <c r="P13" t="str">
        <v>Female</v>
      </c>
      <c r="Q13" t="str">
        <v>Training</v>
      </c>
      <c r="R13">
        <v>116767.63</v>
      </c>
      <c r="S13" t="str">
        <v>Above 100k</v>
      </c>
      <c r="T13">
        <v>43949</v>
      </c>
      <c r="U13">
        <v>0.4</v>
      </c>
      <c r="V13" t="str">
        <v>Temporary</v>
      </c>
      <c r="W13" t="str">
        <v>Chennai, India</v>
      </c>
      <c r="X13">
        <v>4.1506849315068495</v>
      </c>
      <c r="Y13" t="str">
        <v>Part time</v>
      </c>
      <c r="AA13" t="str">
        <v>Marketing</v>
      </c>
      <c r="AB13" s="83">
        <f t="shared" si="0"/>
        <v>0.58333333333333337</v>
      </c>
    </row>
    <row r="14" spans="1:28" x14ac:dyDescent="0.25">
      <c r="B14" s="55" t="str">
        <v>Marketing</v>
      </c>
      <c r="C14" s="55">
        <v>12</v>
      </c>
      <c r="D14" s="78">
        <v>64441.30000000001</v>
      </c>
      <c r="E14" s="48">
        <v>-9420.0252307692208</v>
      </c>
      <c r="F14" s="79">
        <v>-9420.0252307692208</v>
      </c>
      <c r="G14" s="80">
        <v>104903.79</v>
      </c>
      <c r="H14" s="48" cm="1">
        <f t="array" ref="H14">MEDIAN(_xlfn._xlws.FILTER(staff[Salary],staff[Department]=B14))</f>
        <v>66961.489999999991</v>
      </c>
      <c r="I14" s="84">
        <v>0.41666666666666669</v>
      </c>
      <c r="M14" t="str">
        <v>PR02010</v>
      </c>
      <c r="N14" t="str">
        <v>Prerana</v>
      </c>
      <c r="O14" t="str">
        <v>Nishita</v>
      </c>
      <c r="P14" t="str">
        <v>Male</v>
      </c>
      <c r="Q14" t="str">
        <v>Product Management</v>
      </c>
      <c r="R14">
        <v>115191.38</v>
      </c>
      <c r="S14" t="str">
        <v>Above 100k</v>
      </c>
      <c r="T14">
        <v>44004</v>
      </c>
      <c r="U14">
        <v>1</v>
      </c>
      <c r="V14" t="str">
        <v>Permanent</v>
      </c>
      <c r="W14" t="str">
        <v>Hyderabad, India</v>
      </c>
      <c r="X14">
        <v>4</v>
      </c>
      <c r="Y14" t="str">
        <v>Full time</v>
      </c>
      <c r="AA14" t="str">
        <v>Product Management</v>
      </c>
      <c r="AB14" s="83">
        <f t="shared" si="0"/>
        <v>0.41379310344827586</v>
      </c>
    </row>
    <row r="15" spans="1:28" x14ac:dyDescent="0.25">
      <c r="B15" s="55" t="str">
        <v>Product Management</v>
      </c>
      <c r="C15" s="55">
        <v>29</v>
      </c>
      <c r="D15" s="78">
        <v>75179.064482758622</v>
      </c>
      <c r="E15" s="48">
        <v>1317.7392519893911</v>
      </c>
      <c r="F15" s="79">
        <v>1317.7392519893911</v>
      </c>
      <c r="G15" s="80">
        <v>115191.38</v>
      </c>
      <c r="H15" s="48" cm="1">
        <f t="array" ref="H15">MEDIAN(_xlfn._xlws.FILTER(staff[Salary],staff[Department]=B15))</f>
        <v>72502.61</v>
      </c>
      <c r="I15" s="84">
        <v>0.58620689655172409</v>
      </c>
      <c r="M15" t="str">
        <v>SQ02624</v>
      </c>
      <c r="N15" t="str">
        <v>Gwenneth</v>
      </c>
      <c r="O15" t="str">
        <v>Fealey</v>
      </c>
      <c r="P15" t="str">
        <v>Female</v>
      </c>
      <c r="Q15" t="str">
        <v>Engineering</v>
      </c>
      <c r="R15">
        <v>114772.32</v>
      </c>
      <c r="S15" t="str">
        <v>Above 100k</v>
      </c>
      <c r="T15">
        <v>44251</v>
      </c>
      <c r="U15">
        <v>1</v>
      </c>
      <c r="V15" t="str">
        <v>Permanent</v>
      </c>
      <c r="W15" t="str">
        <v>Columbus, USA</v>
      </c>
      <c r="X15">
        <v>3.3232876712328765</v>
      </c>
      <c r="Y15" t="str">
        <v>Full time</v>
      </c>
      <c r="AA15" t="str">
        <v>Research and Development</v>
      </c>
      <c r="AB15" s="83">
        <f t="shared" si="0"/>
        <v>0.3888888888888889</v>
      </c>
    </row>
    <row r="16" spans="1:28" x14ac:dyDescent="0.25">
      <c r="B16" s="55" t="str">
        <v>Research and Development</v>
      </c>
      <c r="C16" s="55">
        <v>18</v>
      </c>
      <c r="D16" s="78">
        <v>66910.765555555554</v>
      </c>
      <c r="E16" s="48">
        <v>-6950.5596752136771</v>
      </c>
      <c r="F16" s="79">
        <v>-6950.5596752136771</v>
      </c>
      <c r="G16" s="80">
        <v>99683.67</v>
      </c>
      <c r="H16" s="48" cm="1">
        <f t="array" ref="H16">MEDIAN(_xlfn._xlws.FILTER(staff[Salary],staff[Department]=B16))</f>
        <v>65995.375</v>
      </c>
      <c r="I16" s="84">
        <v>0.61111111111111116</v>
      </c>
      <c r="M16" t="str">
        <v>VT02801</v>
      </c>
      <c r="N16" t="str">
        <v>Shellysheldon</v>
      </c>
      <c r="O16" t="str">
        <v>Mahady</v>
      </c>
      <c r="P16" t="str">
        <v>Male</v>
      </c>
      <c r="Q16" t="str">
        <v>Training</v>
      </c>
      <c r="R16">
        <v>114691.03</v>
      </c>
      <c r="S16" t="str">
        <v>Above 100k</v>
      </c>
      <c r="T16">
        <v>44039</v>
      </c>
      <c r="U16">
        <v>1</v>
      </c>
      <c r="V16" t="str">
        <v>Temporary</v>
      </c>
      <c r="W16" t="str">
        <v>Wellington, New Zealand</v>
      </c>
      <c r="X16">
        <v>3.904109589041096</v>
      </c>
      <c r="Y16" t="str">
        <v>Full time</v>
      </c>
      <c r="AA16" t="str">
        <v>Sales</v>
      </c>
      <c r="AB16" s="83">
        <f t="shared" si="0"/>
        <v>0.44444444444444442</v>
      </c>
    </row>
    <row r="17" spans="2:28" x14ac:dyDescent="0.25">
      <c r="B17" s="55" t="str">
        <v>Sales</v>
      </c>
      <c r="C17" s="55">
        <v>18</v>
      </c>
      <c r="D17" s="78">
        <v>71897.095555555556</v>
      </c>
      <c r="E17" s="48">
        <v>-1964.2296752136754</v>
      </c>
      <c r="F17" s="79">
        <v>-1964.2296752136754</v>
      </c>
      <c r="G17" s="80">
        <v>102129.37</v>
      </c>
      <c r="H17" s="48" cm="1">
        <f t="array" ref="H17">MEDIAN(_xlfn._xlws.FILTER(staff[Salary],staff[Department]=B17))</f>
        <v>79396.654999999999</v>
      </c>
      <c r="I17" s="84">
        <v>0.55555555555555558</v>
      </c>
      <c r="M17" t="str">
        <v>VT02491</v>
      </c>
      <c r="N17" t="str">
        <v>Alexis</v>
      </c>
      <c r="O17" t="str">
        <v>Gotfrey</v>
      </c>
      <c r="P17" t="str">
        <v>Male</v>
      </c>
      <c r="Q17" t="str">
        <v>Engineering</v>
      </c>
      <c r="R17">
        <v>114465.93</v>
      </c>
      <c r="S17" t="str">
        <v>Above 100k</v>
      </c>
      <c r="T17">
        <v>43291</v>
      </c>
      <c r="U17">
        <v>1</v>
      </c>
      <c r="V17" t="str">
        <v>Temporary</v>
      </c>
      <c r="W17" t="str">
        <v>Wellington, New Zealand</v>
      </c>
      <c r="X17">
        <v>5.9534246575342467</v>
      </c>
      <c r="Y17" t="str">
        <v>Full time</v>
      </c>
      <c r="AA17" t="str">
        <v>Services</v>
      </c>
      <c r="AB17" s="83">
        <f t="shared" si="0"/>
        <v>0.4</v>
      </c>
    </row>
    <row r="18" spans="2:28" x14ac:dyDescent="0.25">
      <c r="B18" s="55" t="str">
        <v>Services</v>
      </c>
      <c r="C18" s="55">
        <v>21</v>
      </c>
      <c r="D18" s="78">
        <v>74673.974761904756</v>
      </c>
      <c r="E18" s="48">
        <v>812.64953113552474</v>
      </c>
      <c r="F18" s="79">
        <v>812.64953113552474</v>
      </c>
      <c r="G18" s="80">
        <v>120000</v>
      </c>
      <c r="H18" s="48" cm="1">
        <f t="array" ref="H18">MEDIAN(_xlfn._xlws.FILTER(staff[Salary],staff[Department]=B18))</f>
        <v>77096.05</v>
      </c>
      <c r="I18" s="84">
        <v>0.61904761904761907</v>
      </c>
      <c r="M18" t="str">
        <v>TN01281</v>
      </c>
      <c r="N18" t="str">
        <v>Cletus</v>
      </c>
      <c r="O18" t="str">
        <v>McGarahan</v>
      </c>
      <c r="P18" t="str">
        <v>Female</v>
      </c>
      <c r="Q18" t="str">
        <v>Engineering</v>
      </c>
      <c r="R18">
        <v>114425.19</v>
      </c>
      <c r="S18" t="str">
        <v>Above 100k</v>
      </c>
      <c r="T18">
        <v>43857</v>
      </c>
      <c r="U18">
        <v>1</v>
      </c>
      <c r="V18" t="str">
        <v>Permanent</v>
      </c>
      <c r="W18" t="str">
        <v>Wellington, New Zealand</v>
      </c>
      <c r="X18">
        <v>4.4027397260273968</v>
      </c>
      <c r="Y18" t="str">
        <v>Full time</v>
      </c>
      <c r="AA18" t="str">
        <v>Support</v>
      </c>
      <c r="AB18" s="83">
        <f t="shared" si="0"/>
        <v>0.47058823529411764</v>
      </c>
    </row>
    <row r="19" spans="2:28" x14ac:dyDescent="0.25">
      <c r="B19" s="55" t="str">
        <v>Support</v>
      </c>
      <c r="C19" s="55">
        <v>17</v>
      </c>
      <c r="D19" s="78">
        <v>66432.455882352922</v>
      </c>
      <c r="E19" s="48">
        <v>-7428.8693484163086</v>
      </c>
      <c r="F19" s="79">
        <v>-7428.8693484163086</v>
      </c>
      <c r="G19" s="80">
        <v>104802.63</v>
      </c>
      <c r="H19" s="48" cm="1">
        <f t="array" ref="H19">MEDIAN(_xlfn._xlws.FILTER(staff[Salary],staff[Department]=B19))</f>
        <v>61214.26</v>
      </c>
      <c r="I19" s="84">
        <v>0.47058823529411764</v>
      </c>
      <c r="M19" t="str">
        <v>PR00746</v>
      </c>
      <c r="N19" t="str">
        <v>Hogan</v>
      </c>
      <c r="O19" t="str">
        <v>Iles</v>
      </c>
      <c r="P19" t="str">
        <v>Female</v>
      </c>
      <c r="Q19" t="str">
        <v>Accounting</v>
      </c>
      <c r="R19">
        <v>114177.23</v>
      </c>
      <c r="S19" t="str">
        <v>Above 100k</v>
      </c>
      <c r="T19">
        <v>43908</v>
      </c>
      <c r="U19">
        <v>1</v>
      </c>
      <c r="V19" t="str">
        <v>Permanent</v>
      </c>
      <c r="W19" t="str">
        <v>Wellington, New Zealand</v>
      </c>
      <c r="X19">
        <v>4.2630136986301368</v>
      </c>
      <c r="Y19" t="str">
        <v>Full time</v>
      </c>
      <c r="AA19" t="str">
        <v>Training</v>
      </c>
      <c r="AB19" s="83">
        <f t="shared" si="0"/>
        <v>0.23809523809523808</v>
      </c>
    </row>
    <row r="20" spans="2:28" x14ac:dyDescent="0.25">
      <c r="B20" s="55" t="str">
        <v>Training</v>
      </c>
      <c r="C20" s="55">
        <v>24</v>
      </c>
      <c r="D20" s="78">
        <v>83883.965000000011</v>
      </c>
      <c r="E20" s="48">
        <v>10022.63976923078</v>
      </c>
      <c r="F20" s="79">
        <v>10022.63976923078</v>
      </c>
      <c r="G20" s="80">
        <v>116767.63</v>
      </c>
      <c r="H20" s="48" cm="1">
        <f t="array" ref="H20">MEDIAN(_xlfn._xlws.FILTER(staff[Salary],staff[Department]=B20))</f>
        <v>89569.44</v>
      </c>
      <c r="I20" s="84">
        <v>0.70833333333333337</v>
      </c>
      <c r="M20" t="str">
        <v>VT03421</v>
      </c>
      <c r="N20" t="str">
        <v>Alic</v>
      </c>
      <c r="O20" t="str">
        <v>Bagg</v>
      </c>
      <c r="P20" t="str">
        <v>Male</v>
      </c>
      <c r="Q20" t="str">
        <v>Legal</v>
      </c>
      <c r="R20">
        <v>113747.56</v>
      </c>
      <c r="S20" t="str">
        <v>Above 100k</v>
      </c>
      <c r="T20">
        <v>44270</v>
      </c>
      <c r="U20">
        <v>0.7</v>
      </c>
      <c r="V20" t="str">
        <v>Temporary</v>
      </c>
      <c r="W20" t="str">
        <v>Columbus, USA</v>
      </c>
      <c r="X20">
        <v>3.2712328767123289</v>
      </c>
      <c r="Y20" t="str">
        <v>Part time</v>
      </c>
    </row>
    <row r="21" spans="2:28" x14ac:dyDescent="0.25">
      <c r="M21" t="str">
        <v>VT03421</v>
      </c>
      <c r="N21" t="str">
        <v>Alic</v>
      </c>
      <c r="O21" t="str">
        <v>Bagg</v>
      </c>
      <c r="P21" t="str">
        <v>Male</v>
      </c>
      <c r="Q21" t="str">
        <v>Legal</v>
      </c>
      <c r="R21">
        <v>113747.56</v>
      </c>
      <c r="S21" t="str">
        <v>Above 100k</v>
      </c>
      <c r="T21">
        <v>44270</v>
      </c>
      <c r="U21">
        <v>0.7</v>
      </c>
      <c r="V21" t="str">
        <v>Temporary</v>
      </c>
      <c r="W21" t="str">
        <v>Columbus, USA</v>
      </c>
      <c r="X21">
        <v>3.2712328767123289</v>
      </c>
      <c r="Y21" t="str">
        <v>Part time</v>
      </c>
    </row>
    <row r="22" spans="2:28" x14ac:dyDescent="0.25">
      <c r="M22" t="str">
        <v>SQ01620</v>
      </c>
      <c r="N22" t="str">
        <v>Westbrook</v>
      </c>
      <c r="O22" t="str">
        <v>Brandino</v>
      </c>
      <c r="P22" t="str">
        <v>Male</v>
      </c>
      <c r="Q22" t="str">
        <v>Legal</v>
      </c>
      <c r="R22">
        <v>113616.23</v>
      </c>
      <c r="S22" t="str">
        <v>Above 100k</v>
      </c>
      <c r="T22">
        <v>43255</v>
      </c>
      <c r="U22">
        <v>1</v>
      </c>
      <c r="V22" t="str">
        <v>Permanent</v>
      </c>
      <c r="W22" t="str">
        <v>Remote</v>
      </c>
      <c r="X22">
        <v>6.0520547945205481</v>
      </c>
      <c r="Y22" t="str">
        <v>Full time</v>
      </c>
    </row>
    <row r="23" spans="2:28" x14ac:dyDescent="0.25">
      <c r="M23" t="str">
        <v>VT01893</v>
      </c>
      <c r="N23" t="str">
        <v>Lindy</v>
      </c>
      <c r="O23" t="str">
        <v>Guillet</v>
      </c>
      <c r="P23" t="str">
        <v>Male</v>
      </c>
      <c r="Q23" t="str">
        <v>Training</v>
      </c>
      <c r="R23">
        <v>112778.28</v>
      </c>
      <c r="S23" t="str">
        <v>Above 100k</v>
      </c>
      <c r="T23">
        <v>43250</v>
      </c>
      <c r="U23">
        <v>1</v>
      </c>
      <c r="V23" t="str">
        <v>Fixed Term</v>
      </c>
      <c r="W23" t="str">
        <v>Remote</v>
      </c>
      <c r="X23">
        <v>6.065753424657534</v>
      </c>
      <c r="Y23" t="str">
        <v>Full time</v>
      </c>
    </row>
    <row r="24" spans="2:28" x14ac:dyDescent="0.25">
      <c r="M24" t="str">
        <v>VT01893</v>
      </c>
      <c r="N24" t="str">
        <v>Lindy</v>
      </c>
      <c r="O24" t="str">
        <v>Guillet</v>
      </c>
      <c r="P24" t="str">
        <v>Male</v>
      </c>
      <c r="Q24" t="str">
        <v>Training</v>
      </c>
      <c r="R24">
        <v>112778.28</v>
      </c>
      <c r="S24" t="str">
        <v>Above 100k</v>
      </c>
      <c r="T24">
        <v>43250</v>
      </c>
      <c r="U24">
        <v>1</v>
      </c>
      <c r="V24" t="str">
        <v>Fixed Term</v>
      </c>
      <c r="W24" t="str">
        <v>Remote</v>
      </c>
      <c r="X24">
        <v>6.065753424657534</v>
      </c>
      <c r="Y24" t="str">
        <v>Full time</v>
      </c>
    </row>
    <row r="25" spans="2:28" x14ac:dyDescent="0.25">
      <c r="M25" t="str">
        <v>PR01159</v>
      </c>
      <c r="N25" t="str">
        <v>Mollie</v>
      </c>
      <c r="O25" t="str">
        <v>Hanway</v>
      </c>
      <c r="P25" t="str">
        <v>Male</v>
      </c>
      <c r="Q25" t="str">
        <v>Engineering</v>
      </c>
      <c r="R25">
        <v>112645.99</v>
      </c>
      <c r="S25" t="str">
        <v>Above 100k</v>
      </c>
      <c r="T25">
        <v>43759</v>
      </c>
      <c r="U25">
        <v>0.6</v>
      </c>
      <c r="V25" t="str">
        <v>Permanent</v>
      </c>
      <c r="W25" t="str">
        <v>Seattle, USA</v>
      </c>
      <c r="X25">
        <v>4.6712328767123283</v>
      </c>
      <c r="Y25" t="str">
        <v>Part time</v>
      </c>
    </row>
    <row r="26" spans="2:28" x14ac:dyDescent="0.25">
      <c r="M26" t="str">
        <v>VT04028</v>
      </c>
      <c r="N26" t="str">
        <v>Michale</v>
      </c>
      <c r="O26" t="str">
        <v>Rolf</v>
      </c>
      <c r="P26" t="str">
        <v>Male</v>
      </c>
      <c r="Q26" t="str">
        <v>Services</v>
      </c>
      <c r="R26">
        <v>111815.49</v>
      </c>
      <c r="S26" t="str">
        <v>Above 100k</v>
      </c>
      <c r="T26">
        <v>43895</v>
      </c>
      <c r="U26">
        <v>0.7</v>
      </c>
      <c r="V26" t="str">
        <v>Temporary</v>
      </c>
      <c r="W26" t="str">
        <v>Remote</v>
      </c>
      <c r="X26">
        <v>4.2986301369863016</v>
      </c>
      <c r="Y26" t="str">
        <v>Part time</v>
      </c>
    </row>
    <row r="27" spans="2:28" x14ac:dyDescent="0.25">
      <c r="M27" t="str">
        <v>VT04028</v>
      </c>
      <c r="N27" t="str">
        <v>Michale</v>
      </c>
      <c r="O27" t="str">
        <v>Rolf</v>
      </c>
      <c r="P27" t="str">
        <v>Male</v>
      </c>
      <c r="Q27" t="str">
        <v>Services</v>
      </c>
      <c r="R27">
        <v>111815.49</v>
      </c>
      <c r="S27" t="str">
        <v>Above 100k</v>
      </c>
      <c r="T27">
        <v>43895</v>
      </c>
      <c r="U27">
        <v>0.7</v>
      </c>
      <c r="V27" t="str">
        <v>Temporary</v>
      </c>
      <c r="W27" t="str">
        <v>Remote</v>
      </c>
      <c r="X27">
        <v>4.2986301369863016</v>
      </c>
      <c r="Y27" t="str">
        <v>Part time</v>
      </c>
    </row>
    <row r="28" spans="2:28" x14ac:dyDescent="0.25">
      <c r="M28" t="str">
        <v>SQ04603</v>
      </c>
      <c r="N28" t="str">
        <v>Natalee</v>
      </c>
      <c r="O28" t="str">
        <v>Craiker</v>
      </c>
      <c r="P28" t="str">
        <v>Male</v>
      </c>
      <c r="Q28" t="str">
        <v>Product Management</v>
      </c>
      <c r="R28">
        <v>111229.47</v>
      </c>
      <c r="S28" t="str">
        <v>Above 100k</v>
      </c>
      <c r="T28">
        <v>43402</v>
      </c>
      <c r="U28">
        <v>1</v>
      </c>
      <c r="V28" t="str">
        <v>Permanent</v>
      </c>
      <c r="W28" t="str">
        <v>Remote</v>
      </c>
      <c r="X28">
        <v>5.6493150684931503</v>
      </c>
      <c r="Y28" t="str">
        <v>Full time</v>
      </c>
    </row>
    <row r="29" spans="2:28" x14ac:dyDescent="0.25">
      <c r="M29" t="str">
        <v>SQ00498</v>
      </c>
      <c r="N29" t="str">
        <v>Amery</v>
      </c>
      <c r="O29" t="str">
        <v>Ofer</v>
      </c>
      <c r="P29" t="str">
        <v>Female</v>
      </c>
      <c r="Q29" t="str">
        <v>Legal</v>
      </c>
      <c r="R29">
        <v>111049.84</v>
      </c>
      <c r="S29" t="str">
        <v>Above 100k</v>
      </c>
      <c r="T29">
        <v>44393</v>
      </c>
      <c r="U29">
        <v>1</v>
      </c>
      <c r="V29" t="str">
        <v>Permanent</v>
      </c>
      <c r="W29" t="str">
        <v>Wellington, New Zealand</v>
      </c>
      <c r="X29">
        <v>2.9342465753424656</v>
      </c>
      <c r="Y29" t="str">
        <v>Full time</v>
      </c>
    </row>
    <row r="30" spans="2:28" x14ac:dyDescent="0.25">
      <c r="M30" t="str">
        <v>VT04681</v>
      </c>
      <c r="N30" t="str">
        <v>Nickolai</v>
      </c>
      <c r="O30" t="str">
        <v>Artin</v>
      </c>
      <c r="P30" t="str">
        <v>Female</v>
      </c>
      <c r="Q30" t="str">
        <v>Product Management</v>
      </c>
      <c r="R30">
        <v>110906.35</v>
      </c>
      <c r="S30" t="str">
        <v>Above 100k</v>
      </c>
      <c r="T30">
        <v>43434</v>
      </c>
      <c r="U30">
        <v>1</v>
      </c>
      <c r="V30" t="str">
        <v>Temporary</v>
      </c>
      <c r="W30" t="str">
        <v>Wellington, New Zealand</v>
      </c>
      <c r="X30">
        <v>5.5616438356164384</v>
      </c>
      <c r="Y30" t="str">
        <v>Full time</v>
      </c>
    </row>
    <row r="31" spans="2:28" x14ac:dyDescent="0.25">
      <c r="M31" t="str">
        <v>SQ00022</v>
      </c>
      <c r="N31" t="str">
        <v>Carlin</v>
      </c>
      <c r="O31" t="str">
        <v>Demke</v>
      </c>
      <c r="P31" t="str">
        <v>Male</v>
      </c>
      <c r="Q31" t="str">
        <v>Business Development</v>
      </c>
      <c r="R31">
        <v>110042.37</v>
      </c>
      <c r="S31" t="str">
        <v>Above 100k</v>
      </c>
      <c r="T31">
        <v>43914</v>
      </c>
      <c r="U31">
        <v>1</v>
      </c>
      <c r="V31" t="str">
        <v>Permanent</v>
      </c>
      <c r="W31" t="str">
        <v>Columbus, USA</v>
      </c>
      <c r="X31">
        <v>4.2465753424657535</v>
      </c>
      <c r="Y31" t="str">
        <v>Full time</v>
      </c>
    </row>
    <row r="32" spans="2:28" x14ac:dyDescent="0.25">
      <c r="M32" t="str">
        <v>TN00579</v>
      </c>
      <c r="N32" t="str">
        <v>Rafaelita</v>
      </c>
      <c r="O32" t="str">
        <v>Blaksland</v>
      </c>
      <c r="P32" t="str">
        <v>Female</v>
      </c>
      <c r="Q32" t="str">
        <v>Services</v>
      </c>
      <c r="R32">
        <v>109163.39</v>
      </c>
      <c r="S32" t="str">
        <v>Above 100k</v>
      </c>
      <c r="T32">
        <v>44019</v>
      </c>
      <c r="U32">
        <v>0.8</v>
      </c>
      <c r="V32" t="str">
        <v>Permanent</v>
      </c>
      <c r="W32" t="str">
        <v>Seattle, USA</v>
      </c>
      <c r="X32">
        <v>3.9589041095890409</v>
      </c>
      <c r="Y32" t="str">
        <v>Part time</v>
      </c>
    </row>
    <row r="33" spans="13:25" x14ac:dyDescent="0.25">
      <c r="M33" t="str">
        <v>SQ03733</v>
      </c>
      <c r="N33" t="str">
        <v>Revkah</v>
      </c>
      <c r="O33" t="str">
        <v>Antonacci</v>
      </c>
      <c r="P33" t="str">
        <v>Male</v>
      </c>
      <c r="Q33" t="str">
        <v>Engineering</v>
      </c>
      <c r="R33">
        <v>109143.17</v>
      </c>
      <c r="S33" t="str">
        <v>Above 100k</v>
      </c>
      <c r="T33">
        <v>43945</v>
      </c>
      <c r="U33">
        <v>1</v>
      </c>
      <c r="V33" t="str">
        <v>Permanent</v>
      </c>
      <c r="W33" t="str">
        <v>Wellington, New Zealand</v>
      </c>
      <c r="X33">
        <v>4.161643835616438</v>
      </c>
      <c r="Y33" t="str">
        <v>Full time</v>
      </c>
    </row>
    <row r="34" spans="13:25" x14ac:dyDescent="0.25">
      <c r="M34" t="str">
        <v>SQ03116</v>
      </c>
      <c r="N34" t="str">
        <v>Syd</v>
      </c>
      <c r="O34" t="str">
        <v>Fearn</v>
      </c>
      <c r="P34" t="str">
        <v>Male</v>
      </c>
      <c r="Q34" t="str">
        <v>Engineering</v>
      </c>
      <c r="R34">
        <v>108872.77</v>
      </c>
      <c r="S34" t="str">
        <v>Above 100k</v>
      </c>
      <c r="T34">
        <v>43521</v>
      </c>
      <c r="U34">
        <v>1</v>
      </c>
      <c r="V34" t="str">
        <v>Permanent</v>
      </c>
      <c r="W34" t="str">
        <v>Remote</v>
      </c>
      <c r="X34">
        <v>5.3232876712328769</v>
      </c>
      <c r="Y34" t="str">
        <v>Full time</v>
      </c>
    </row>
    <row r="35" spans="13:25" x14ac:dyDescent="0.25">
      <c r="M35" t="str">
        <v>SQ03476</v>
      </c>
      <c r="N35" t="str">
        <v>Ramalingam</v>
      </c>
      <c r="O35" t="str">
        <v>Kothapeta</v>
      </c>
      <c r="P35" t="str">
        <v>Need to check</v>
      </c>
      <c r="Q35" t="str">
        <v>Accounting</v>
      </c>
      <c r="R35">
        <v>107107.6</v>
      </c>
      <c r="S35" t="str">
        <v>Above 100k</v>
      </c>
      <c r="T35">
        <v>43325</v>
      </c>
      <c r="U35">
        <v>0.9</v>
      </c>
      <c r="V35" t="str">
        <v>Permanent</v>
      </c>
      <c r="W35" t="str">
        <v>Chennai, India</v>
      </c>
      <c r="X35">
        <v>5.86027397260274</v>
      </c>
      <c r="Y35" t="str">
        <v>Part time</v>
      </c>
    </row>
    <row r="36" spans="13:25" x14ac:dyDescent="0.25">
      <c r="M36" t="str">
        <v>TN04058</v>
      </c>
      <c r="N36" t="str">
        <v>Subbarao</v>
      </c>
      <c r="O36" t="str">
        <v>Malladi</v>
      </c>
      <c r="P36" t="str">
        <v>Male</v>
      </c>
      <c r="Q36" t="str">
        <v>Product Management</v>
      </c>
      <c r="R36">
        <v>106775.14</v>
      </c>
      <c r="S36" t="str">
        <v>Above 100k</v>
      </c>
      <c r="T36">
        <v>43563</v>
      </c>
      <c r="U36">
        <v>1</v>
      </c>
      <c r="V36" t="str">
        <v>Fixed Term</v>
      </c>
      <c r="W36" t="str">
        <v>Hyderabad, India</v>
      </c>
      <c r="X36">
        <v>5.2082191780821914</v>
      </c>
      <c r="Y36" t="str">
        <v>Full time</v>
      </c>
    </row>
    <row r="37" spans="13:25" x14ac:dyDescent="0.25">
      <c r="M37" t="str">
        <v>TN04058</v>
      </c>
      <c r="N37" t="str">
        <v>Vasu</v>
      </c>
      <c r="O37" t="str">
        <v>Nandin</v>
      </c>
      <c r="P37" t="str">
        <v>Male</v>
      </c>
      <c r="Q37" t="str">
        <v>Product Management</v>
      </c>
      <c r="R37">
        <v>106775.14</v>
      </c>
      <c r="S37" t="str">
        <v>Above 100k</v>
      </c>
      <c r="T37">
        <v>43563</v>
      </c>
      <c r="U37">
        <v>1</v>
      </c>
      <c r="V37" t="str">
        <v>Fixed Term</v>
      </c>
      <c r="W37" t="str">
        <v>Hyderabad, India</v>
      </c>
      <c r="X37">
        <v>5.2082191780821914</v>
      </c>
      <c r="Y37" t="str">
        <v>Full time</v>
      </c>
    </row>
    <row r="38" spans="13:25" x14ac:dyDescent="0.25">
      <c r="M38" t="str">
        <v>VT04552</v>
      </c>
      <c r="N38" t="str">
        <v>Theresita</v>
      </c>
      <c r="O38" t="str">
        <v>Chasmer</v>
      </c>
      <c r="P38" t="str">
        <v>Female</v>
      </c>
      <c r="Q38" t="str">
        <v>Product Management</v>
      </c>
      <c r="R38">
        <v>106665.67</v>
      </c>
      <c r="S38" t="str">
        <v>Above 100k</v>
      </c>
      <c r="T38">
        <v>43311</v>
      </c>
      <c r="U38">
        <v>1</v>
      </c>
      <c r="V38" t="str">
        <v>Temporary</v>
      </c>
      <c r="W38" t="str">
        <v>Columbus, USA</v>
      </c>
      <c r="X38">
        <v>5.8986301369863012</v>
      </c>
      <c r="Y38" t="str">
        <v>Full time</v>
      </c>
    </row>
    <row r="39" spans="13:25" x14ac:dyDescent="0.25">
      <c r="M39" t="str">
        <v>VT04350</v>
      </c>
      <c r="N39" t="str">
        <v>Kulbhushan</v>
      </c>
      <c r="O39" t="str">
        <v>Moorthy</v>
      </c>
      <c r="P39" t="str">
        <v>Male</v>
      </c>
      <c r="Q39" t="str">
        <v>Business Development</v>
      </c>
      <c r="R39">
        <v>106400.02</v>
      </c>
      <c r="S39" t="str">
        <v>Above 100k</v>
      </c>
      <c r="T39">
        <v>44021</v>
      </c>
      <c r="U39">
        <v>1</v>
      </c>
      <c r="V39" t="str">
        <v>Temporary</v>
      </c>
      <c r="W39" t="str">
        <v>Chennai, India</v>
      </c>
      <c r="X39">
        <v>3.9534246575342467</v>
      </c>
      <c r="Y39" t="str">
        <v>Full time</v>
      </c>
    </row>
    <row r="40" spans="13:25" x14ac:dyDescent="0.25">
      <c r="M40" t="str">
        <v>VT04350</v>
      </c>
      <c r="N40" t="str">
        <v>Lalit</v>
      </c>
      <c r="O40" t="str">
        <v>Kothari</v>
      </c>
      <c r="P40" t="str">
        <v>Male</v>
      </c>
      <c r="Q40" t="str">
        <v>Business Development</v>
      </c>
      <c r="R40">
        <v>106400.02</v>
      </c>
      <c r="S40" t="str">
        <v>Above 100k</v>
      </c>
      <c r="T40">
        <v>44021</v>
      </c>
      <c r="U40">
        <v>1</v>
      </c>
      <c r="V40" t="str">
        <v>Temporary</v>
      </c>
      <c r="W40" t="str">
        <v>Chennai, India</v>
      </c>
      <c r="X40">
        <v>3.9534246575342467</v>
      </c>
      <c r="Y40" t="str">
        <v>Full time</v>
      </c>
    </row>
    <row r="41" spans="13:25" x14ac:dyDescent="0.25">
      <c r="M41" t="str">
        <v>SQ02703</v>
      </c>
      <c r="N41" t="str">
        <v>Deepit</v>
      </c>
      <c r="O41" t="str">
        <v>Ranjana</v>
      </c>
      <c r="P41" t="str">
        <v>Female</v>
      </c>
      <c r="Q41" t="str">
        <v>Marketing</v>
      </c>
      <c r="R41">
        <v>104903.79</v>
      </c>
      <c r="S41" t="str">
        <v>Above 100k</v>
      </c>
      <c r="T41">
        <v>43649</v>
      </c>
      <c r="U41">
        <v>1</v>
      </c>
      <c r="V41" t="str">
        <v>Permanent</v>
      </c>
      <c r="W41" t="str">
        <v>Chennai, India</v>
      </c>
      <c r="X41">
        <v>4.9726027397260273</v>
      </c>
      <c r="Y41" t="str">
        <v>Full time</v>
      </c>
    </row>
    <row r="42" spans="13:25" x14ac:dyDescent="0.25">
      <c r="M42" t="str">
        <v>PR04601</v>
      </c>
      <c r="N42" t="str">
        <v>Yedukondalu</v>
      </c>
      <c r="O42" t="str">
        <v>Panditula</v>
      </c>
      <c r="P42" t="str">
        <v>Need to check</v>
      </c>
      <c r="Q42" t="str">
        <v>Support</v>
      </c>
      <c r="R42">
        <v>104802.63</v>
      </c>
      <c r="S42" t="str">
        <v>Above 100k</v>
      </c>
      <c r="T42">
        <v>44502</v>
      </c>
      <c r="U42">
        <v>1</v>
      </c>
      <c r="V42" t="str">
        <v>Permanent</v>
      </c>
      <c r="W42" t="str">
        <v>Hyderabad, India</v>
      </c>
      <c r="X42">
        <v>2.6356164383561644</v>
      </c>
      <c r="Y42" t="str">
        <v>Full time</v>
      </c>
    </row>
    <row r="43" spans="13:25" x14ac:dyDescent="0.25">
      <c r="M43" t="str">
        <v>PR02288</v>
      </c>
      <c r="N43" t="str">
        <v>Althea</v>
      </c>
      <c r="O43" t="str">
        <v>Bronger</v>
      </c>
      <c r="P43" t="str">
        <v>Male</v>
      </c>
      <c r="Q43" t="str">
        <v>Product Management</v>
      </c>
      <c r="R43">
        <v>104335.03999999999</v>
      </c>
      <c r="S43" t="str">
        <v>Above 100k</v>
      </c>
      <c r="T43">
        <v>43874</v>
      </c>
      <c r="U43">
        <v>1</v>
      </c>
      <c r="V43" t="str">
        <v>Permanent</v>
      </c>
      <c r="W43" t="str">
        <v>Columbus, USA</v>
      </c>
      <c r="X43">
        <v>4.3561643835616435</v>
      </c>
      <c r="Y43" t="str">
        <v>Full time</v>
      </c>
    </row>
    <row r="44" spans="13:25" x14ac:dyDescent="0.25">
      <c r="M44" t="str">
        <v>TN04740</v>
      </c>
      <c r="N44" t="str">
        <v>Tristam</v>
      </c>
      <c r="O44" t="str">
        <v>Cuming</v>
      </c>
      <c r="P44" t="str">
        <v>Female</v>
      </c>
      <c r="Q44" t="str">
        <v>Support</v>
      </c>
      <c r="R44">
        <v>104038.9</v>
      </c>
      <c r="S44" t="str">
        <v>Above 100k</v>
      </c>
      <c r="T44">
        <v>43815</v>
      </c>
      <c r="U44">
        <v>1</v>
      </c>
      <c r="V44" t="str">
        <v>Fixed Term</v>
      </c>
      <c r="W44" t="str">
        <v>Remote</v>
      </c>
      <c r="X44">
        <v>4.5178082191780824</v>
      </c>
      <c r="Y44" t="str">
        <v>Full time</v>
      </c>
    </row>
    <row r="45" spans="13:25" x14ac:dyDescent="0.25">
      <c r="M45" t="str">
        <v>SQ02035</v>
      </c>
      <c r="N45" t="str">
        <v>Anni</v>
      </c>
      <c r="O45" t="str">
        <v>Izzard</v>
      </c>
      <c r="P45" t="str">
        <v>Male</v>
      </c>
      <c r="Q45" t="str">
        <v>Human Resources</v>
      </c>
      <c r="R45">
        <v>103494.94</v>
      </c>
      <c r="S45" t="str">
        <v>Above 100k</v>
      </c>
      <c r="T45">
        <v>43256</v>
      </c>
      <c r="U45">
        <v>1</v>
      </c>
      <c r="V45" t="str">
        <v>Permanent</v>
      </c>
      <c r="W45" t="str">
        <v>Remote</v>
      </c>
      <c r="X45">
        <v>6.0493150684931507</v>
      </c>
      <c r="Y45" t="str">
        <v>Full time</v>
      </c>
    </row>
    <row r="46" spans="13:25" x14ac:dyDescent="0.25">
      <c r="M46" t="str">
        <v>SQ02035</v>
      </c>
      <c r="N46" t="str">
        <v>Anni</v>
      </c>
      <c r="O46" t="str">
        <v>Izzard</v>
      </c>
      <c r="P46" t="str">
        <v>Male</v>
      </c>
      <c r="Q46" t="str">
        <v>Human Resources</v>
      </c>
      <c r="R46">
        <v>103494.94</v>
      </c>
      <c r="S46" t="str">
        <v>Above 100k</v>
      </c>
      <c r="T46">
        <v>43256</v>
      </c>
      <c r="U46">
        <v>1</v>
      </c>
      <c r="V46" t="str">
        <v>Permanent</v>
      </c>
      <c r="W46" t="str">
        <v>Remote</v>
      </c>
      <c r="X46">
        <v>6.0493150684931507</v>
      </c>
      <c r="Y46" t="str">
        <v>Full time</v>
      </c>
    </row>
    <row r="47" spans="13:25" x14ac:dyDescent="0.25">
      <c r="M47" t="str">
        <v>PR02208</v>
      </c>
      <c r="N47" t="str">
        <v>Gowri</v>
      </c>
      <c r="O47" t="str">
        <v>Sankar</v>
      </c>
      <c r="P47" t="str">
        <v>Female</v>
      </c>
      <c r="Q47" t="str">
        <v>Training</v>
      </c>
      <c r="R47">
        <v>102934.09</v>
      </c>
      <c r="S47" t="str">
        <v>Above 100k</v>
      </c>
      <c r="T47">
        <v>44315</v>
      </c>
      <c r="U47">
        <v>1</v>
      </c>
      <c r="V47" t="str">
        <v>Permanent</v>
      </c>
      <c r="W47" t="str">
        <v>Hyderabad, India</v>
      </c>
      <c r="X47">
        <v>3.1479452054794521</v>
      </c>
      <c r="Y47" t="str">
        <v>Full time</v>
      </c>
    </row>
    <row r="48" spans="13:25" x14ac:dyDescent="0.25">
      <c r="M48" t="str">
        <v>VT01762</v>
      </c>
      <c r="N48" t="str">
        <v>Geena</v>
      </c>
      <c r="O48" t="str">
        <v>Raghavanpillai</v>
      </c>
      <c r="P48" t="str">
        <v>Male</v>
      </c>
      <c r="Q48" t="str">
        <v>Accounting</v>
      </c>
      <c r="R48">
        <v>102515.81</v>
      </c>
      <c r="S48" t="str">
        <v>Above 100k</v>
      </c>
      <c r="T48">
        <v>43902</v>
      </c>
      <c r="U48">
        <v>1</v>
      </c>
      <c r="V48" t="str">
        <v>Fixed Term</v>
      </c>
      <c r="W48" t="str">
        <v>Chennai, India</v>
      </c>
      <c r="X48">
        <v>4.279452054794521</v>
      </c>
      <c r="Y48" t="str">
        <v>Full time</v>
      </c>
    </row>
    <row r="49" spans="13:25" x14ac:dyDescent="0.25">
      <c r="M49" t="str">
        <v>SQ03491</v>
      </c>
      <c r="N49" t="str">
        <v>Freda</v>
      </c>
      <c r="O49" t="str">
        <v>Legan</v>
      </c>
      <c r="P49" t="str">
        <v>Female</v>
      </c>
      <c r="Q49" t="str">
        <v>Sales</v>
      </c>
      <c r="R49">
        <v>102129.37</v>
      </c>
      <c r="S49" t="str">
        <v>Above 100k</v>
      </c>
      <c r="T49">
        <v>44396</v>
      </c>
      <c r="U49">
        <v>1</v>
      </c>
      <c r="V49" t="str">
        <v>Permanent</v>
      </c>
      <c r="W49" t="str">
        <v>Columbus, USA</v>
      </c>
      <c r="X49">
        <v>2.9260273972602739</v>
      </c>
      <c r="Y49" t="str">
        <v>Full time</v>
      </c>
    </row>
    <row r="50" spans="13:25" x14ac:dyDescent="0.25">
      <c r="M50" t="str">
        <v>VT01684</v>
      </c>
      <c r="N50" t="str">
        <v>Audry</v>
      </c>
      <c r="O50" t="str">
        <v>Yu</v>
      </c>
      <c r="P50" t="str">
        <v>Female</v>
      </c>
      <c r="Q50" t="str">
        <v>Training</v>
      </c>
      <c r="R50">
        <v>101187.36</v>
      </c>
      <c r="S50" t="str">
        <v>Above 100k</v>
      </c>
      <c r="T50">
        <v>43258</v>
      </c>
      <c r="U50">
        <v>1</v>
      </c>
      <c r="V50" t="str">
        <v>Fixed Term</v>
      </c>
      <c r="W50" t="str">
        <v>Columbus, USA</v>
      </c>
      <c r="X50">
        <v>6.043835616438356</v>
      </c>
      <c r="Y50" t="str">
        <v>Full time</v>
      </c>
    </row>
    <row r="51" spans="13:25" x14ac:dyDescent="0.25">
      <c r="M51" t="str">
        <v>SQ03387</v>
      </c>
      <c r="N51" t="str">
        <v>Robinia</v>
      </c>
      <c r="O51" t="str">
        <v>Scholling</v>
      </c>
      <c r="P51" t="str">
        <v>Female</v>
      </c>
      <c r="Q51" t="str">
        <v>Human Resources</v>
      </c>
      <c r="R51">
        <v>100731.95</v>
      </c>
      <c r="S51" t="str">
        <v>Above 100k</v>
      </c>
      <c r="T51">
        <v>43936</v>
      </c>
      <c r="U51">
        <v>1</v>
      </c>
      <c r="V51" t="str">
        <v>Permanent</v>
      </c>
      <c r="W51" t="str">
        <v>Auckland, New Zealand</v>
      </c>
      <c r="X51">
        <v>4.1863013698630134</v>
      </c>
      <c r="Y51" t="str">
        <v>Full time</v>
      </c>
    </row>
    <row r="52" spans="13:25" x14ac:dyDescent="0.25">
      <c r="M52" t="str">
        <v>SQ04665</v>
      </c>
      <c r="N52" t="str">
        <v>Collin</v>
      </c>
      <c r="O52" t="str">
        <v>Jagson</v>
      </c>
      <c r="P52" t="str">
        <v>Male</v>
      </c>
      <c r="Q52" t="str">
        <v>Services</v>
      </c>
      <c r="R52">
        <v>100424.23</v>
      </c>
      <c r="S52" t="str">
        <v>Above 100k</v>
      </c>
      <c r="T52">
        <v>43801</v>
      </c>
      <c r="U52">
        <v>1</v>
      </c>
      <c r="V52" t="str">
        <v>Permanent</v>
      </c>
      <c r="W52" t="str">
        <v>Auckland, New Zealand</v>
      </c>
      <c r="X52">
        <v>4.5561643835616437</v>
      </c>
      <c r="Y52" t="str">
        <v>Full time</v>
      </c>
    </row>
    <row r="53" spans="13:25" x14ac:dyDescent="0.25">
      <c r="M53" t="str">
        <v>TN04246</v>
      </c>
      <c r="N53" t="str">
        <v>Shaylyn</v>
      </c>
      <c r="O53" t="str">
        <v>Ransbury</v>
      </c>
      <c r="P53" t="str">
        <v>Female</v>
      </c>
      <c r="Q53" t="str">
        <v>Support</v>
      </c>
      <c r="R53">
        <v>100371.31</v>
      </c>
      <c r="S53" t="str">
        <v>Above 100k</v>
      </c>
      <c r="T53">
        <v>44067</v>
      </c>
      <c r="U53">
        <v>0.8</v>
      </c>
      <c r="V53" t="str">
        <v>Fixed Term</v>
      </c>
      <c r="W53" t="str">
        <v>Auckland, New Zealand</v>
      </c>
      <c r="X53">
        <v>3.8273972602739725</v>
      </c>
      <c r="Y53" t="str">
        <v>Part time</v>
      </c>
    </row>
    <row r="54" spans="13:25" x14ac:dyDescent="0.25">
      <c r="M54" t="str">
        <v>SQ02465</v>
      </c>
      <c r="N54" t="str">
        <v>Bernie</v>
      </c>
      <c r="O54" t="str">
        <v>Gorges</v>
      </c>
      <c r="P54" t="str">
        <v>Female</v>
      </c>
      <c r="Q54" t="str">
        <v>Training</v>
      </c>
      <c r="R54">
        <v>99965.97</v>
      </c>
      <c r="S54" t="str">
        <v>50k to 100k</v>
      </c>
      <c r="T54">
        <v>43133</v>
      </c>
      <c r="U54">
        <v>1</v>
      </c>
      <c r="V54" t="str">
        <v>Permanent</v>
      </c>
      <c r="W54" t="str">
        <v>Remote</v>
      </c>
      <c r="X54">
        <v>6.3863013698630136</v>
      </c>
      <c r="Y54" t="str">
        <v>Full time</v>
      </c>
    </row>
    <row r="55" spans="13:25" x14ac:dyDescent="0.25">
      <c r="M55" t="str">
        <v>TN03575</v>
      </c>
      <c r="N55" t="str">
        <v>Janina</v>
      </c>
      <c r="O55" t="str">
        <v>Wolverson</v>
      </c>
      <c r="P55" t="str">
        <v>Female</v>
      </c>
      <c r="Q55" t="str">
        <v>Research and Development</v>
      </c>
      <c r="R55">
        <v>99683.67</v>
      </c>
      <c r="S55" t="str">
        <v>50k to 100k</v>
      </c>
      <c r="T55">
        <v>43500</v>
      </c>
      <c r="U55">
        <v>1</v>
      </c>
      <c r="V55" t="str">
        <v>Fixed Term</v>
      </c>
      <c r="W55" t="str">
        <v>Seattle, USA</v>
      </c>
      <c r="X55">
        <v>5.3808219178082188</v>
      </c>
      <c r="Y55" t="str">
        <v>Full time</v>
      </c>
    </row>
    <row r="56" spans="13:25" x14ac:dyDescent="0.25">
      <c r="M56" t="str">
        <v>TN03575</v>
      </c>
      <c r="N56" t="str">
        <v>Janina</v>
      </c>
      <c r="O56" t="str">
        <v>Wolverson</v>
      </c>
      <c r="P56" t="str">
        <v>Female</v>
      </c>
      <c r="Q56" t="str">
        <v>Research and Development</v>
      </c>
      <c r="R56">
        <v>99683.67</v>
      </c>
      <c r="S56" t="str">
        <v>50k to 100k</v>
      </c>
      <c r="T56">
        <v>43500</v>
      </c>
      <c r="U56">
        <v>1</v>
      </c>
      <c r="V56" t="str">
        <v>Fixed Term</v>
      </c>
      <c r="W56" t="str">
        <v>Seattle, USA</v>
      </c>
      <c r="X56">
        <v>5.3808219178082188</v>
      </c>
      <c r="Y56" t="str">
        <v>Full time</v>
      </c>
    </row>
    <row r="57" spans="13:25" x14ac:dyDescent="0.25">
      <c r="M57" t="str">
        <v>TN01340</v>
      </c>
      <c r="N57" t="str">
        <v>Granny</v>
      </c>
      <c r="O57" t="str">
        <v>Spencelayh</v>
      </c>
      <c r="P57" t="str">
        <v>Male</v>
      </c>
      <c r="Q57" t="str">
        <v>Legal</v>
      </c>
      <c r="R57">
        <v>99460.78</v>
      </c>
      <c r="S57" t="str">
        <v>50k to 100k</v>
      </c>
      <c r="T57">
        <v>43956</v>
      </c>
      <c r="U57">
        <v>1</v>
      </c>
      <c r="V57" t="str">
        <v>Permanent</v>
      </c>
      <c r="W57" t="str">
        <v>Remote</v>
      </c>
      <c r="X57">
        <v>4.1315068493150688</v>
      </c>
      <c r="Y57" t="str">
        <v>Full time</v>
      </c>
    </row>
    <row r="58" spans="13:25" x14ac:dyDescent="0.25">
      <c r="M58" t="str">
        <v>TN04428</v>
      </c>
      <c r="N58" t="str">
        <v>Tadio</v>
      </c>
      <c r="O58" t="str">
        <v>Audritt</v>
      </c>
      <c r="P58" t="str">
        <v>Need to check</v>
      </c>
      <c r="Q58" t="str">
        <v>Human Resources</v>
      </c>
      <c r="R58">
        <v>99448.78</v>
      </c>
      <c r="S58" t="str">
        <v>50k to 100k</v>
      </c>
      <c r="T58">
        <v>43473</v>
      </c>
      <c r="U58">
        <v>1</v>
      </c>
      <c r="V58" t="str">
        <v>Fixed Term</v>
      </c>
      <c r="W58" t="str">
        <v>Wellington, New Zealand</v>
      </c>
      <c r="X58">
        <v>5.4547945205479449</v>
      </c>
      <c r="Y58" t="str">
        <v>Full time</v>
      </c>
    </row>
    <row r="59" spans="13:25" x14ac:dyDescent="0.25">
      <c r="M59" t="str">
        <v>TN04428</v>
      </c>
      <c r="N59" t="str">
        <v>Tadio</v>
      </c>
      <c r="O59" t="str">
        <v>Audritt</v>
      </c>
      <c r="P59" t="str">
        <v>Need to check</v>
      </c>
      <c r="Q59" t="str">
        <v>Human Resources</v>
      </c>
      <c r="R59">
        <v>99448.78</v>
      </c>
      <c r="S59" t="str">
        <v>50k to 100k</v>
      </c>
      <c r="T59">
        <v>43473</v>
      </c>
      <c r="U59">
        <v>1</v>
      </c>
      <c r="V59" t="str">
        <v>Fixed Term</v>
      </c>
      <c r="W59" t="str">
        <v>Wellington, New Zealand</v>
      </c>
      <c r="X59">
        <v>5.4547945205479449</v>
      </c>
      <c r="Y59" t="str">
        <v>Full time</v>
      </c>
    </row>
    <row r="60" spans="13:25" x14ac:dyDescent="0.25">
      <c r="M60" t="str">
        <v>TN02377</v>
      </c>
      <c r="N60" t="str">
        <v>Anjela</v>
      </c>
      <c r="O60" t="str">
        <v>Spancock</v>
      </c>
      <c r="P60" t="str">
        <v>Need to check</v>
      </c>
      <c r="Q60" t="str">
        <v>Accounting</v>
      </c>
      <c r="R60">
        <v>98012.63</v>
      </c>
      <c r="S60" t="str">
        <v>50k to 100k</v>
      </c>
      <c r="T60">
        <v>43780</v>
      </c>
      <c r="U60">
        <v>1</v>
      </c>
      <c r="V60" t="str">
        <v>Permanent</v>
      </c>
      <c r="W60" t="str">
        <v>Remote</v>
      </c>
      <c r="X60">
        <v>4.6136986301369864</v>
      </c>
      <c r="Y60" t="str">
        <v>Full time</v>
      </c>
    </row>
    <row r="61" spans="13:25" x14ac:dyDescent="0.25">
      <c r="M61" t="str">
        <v>PR04686</v>
      </c>
      <c r="N61" t="str">
        <v>Oona</v>
      </c>
      <c r="O61" t="str">
        <v>Donan</v>
      </c>
      <c r="P61" t="str">
        <v>Female</v>
      </c>
      <c r="Q61" t="str">
        <v>Business Development</v>
      </c>
      <c r="R61">
        <v>98000</v>
      </c>
      <c r="S61" t="str">
        <v>50k to 100k</v>
      </c>
      <c r="T61">
        <v>43710</v>
      </c>
      <c r="U61">
        <v>0.9</v>
      </c>
      <c r="V61" t="str">
        <v>Permanent</v>
      </c>
      <c r="W61" t="str">
        <v>Seattle, USA</v>
      </c>
      <c r="X61">
        <v>4.8054794520547945</v>
      </c>
      <c r="Y61" t="str">
        <v>Part time</v>
      </c>
    </row>
    <row r="62" spans="13:25" x14ac:dyDescent="0.25">
      <c r="M62" t="str">
        <v>PR01269</v>
      </c>
      <c r="N62" t="str">
        <v>Eleonore</v>
      </c>
      <c r="O62" t="str">
        <v>Airdrie</v>
      </c>
      <c r="P62" t="str">
        <v>Female</v>
      </c>
      <c r="Q62" t="str">
        <v>Engineering</v>
      </c>
      <c r="R62">
        <v>97105.19</v>
      </c>
      <c r="S62" t="str">
        <v>50k to 100k</v>
      </c>
      <c r="T62">
        <v>44425</v>
      </c>
      <c r="U62">
        <v>1</v>
      </c>
      <c r="V62" t="str">
        <v>Permanent</v>
      </c>
      <c r="W62" t="str">
        <v>Columbus, USA</v>
      </c>
      <c r="X62">
        <v>2.8465753424657536</v>
      </c>
      <c r="Y62" t="str">
        <v>Full time</v>
      </c>
    </row>
    <row r="63" spans="13:25" x14ac:dyDescent="0.25">
      <c r="M63" t="str">
        <v>TN02674</v>
      </c>
      <c r="N63" t="str">
        <v>Antonetta</v>
      </c>
      <c r="O63" t="str">
        <v>Coggeshall</v>
      </c>
      <c r="P63" t="str">
        <v>Male</v>
      </c>
      <c r="Q63" t="str">
        <v>Sales</v>
      </c>
      <c r="R63">
        <v>96753.78</v>
      </c>
      <c r="S63" t="str">
        <v>50k to 100k</v>
      </c>
      <c r="T63">
        <v>44494</v>
      </c>
      <c r="U63">
        <v>1</v>
      </c>
      <c r="V63" t="str">
        <v>Permanent</v>
      </c>
      <c r="W63" t="str">
        <v>Auckland, New Zealand</v>
      </c>
      <c r="X63">
        <v>2.6575342465753424</v>
      </c>
      <c r="Y63" t="str">
        <v>Full time</v>
      </c>
    </row>
    <row r="64" spans="13:25" x14ac:dyDescent="0.25">
      <c r="M64" t="str">
        <v>TN02674</v>
      </c>
      <c r="N64" t="str">
        <v>Antonetta</v>
      </c>
      <c r="O64" t="str">
        <v>Coggeshall</v>
      </c>
      <c r="P64" t="str">
        <v>Male</v>
      </c>
      <c r="Q64" t="str">
        <v>Sales</v>
      </c>
      <c r="R64">
        <v>96753.78</v>
      </c>
      <c r="S64" t="str">
        <v>50k to 100k</v>
      </c>
      <c r="T64">
        <v>44494</v>
      </c>
      <c r="U64">
        <v>1</v>
      </c>
      <c r="V64" t="str">
        <v>Permanent</v>
      </c>
      <c r="W64" t="str">
        <v>Auckland, New Zealand</v>
      </c>
      <c r="X64">
        <v>2.6575342465753424</v>
      </c>
      <c r="Y64" t="str">
        <v>Full time</v>
      </c>
    </row>
    <row r="65" spans="13:25" x14ac:dyDescent="0.25">
      <c r="M65" t="str">
        <v>VT02319</v>
      </c>
      <c r="N65" t="str">
        <v>Tarala</v>
      </c>
      <c r="O65" t="str">
        <v>Vishaal</v>
      </c>
      <c r="P65" t="str">
        <v>Female</v>
      </c>
      <c r="Q65" t="str">
        <v>Research and Development</v>
      </c>
      <c r="R65">
        <v>96555.53</v>
      </c>
      <c r="S65" t="str">
        <v>50k to 100k</v>
      </c>
      <c r="T65">
        <v>43489</v>
      </c>
      <c r="U65">
        <v>0.2</v>
      </c>
      <c r="V65" t="str">
        <v>Temporary</v>
      </c>
      <c r="W65" t="str">
        <v>Hyderabad, India</v>
      </c>
      <c r="X65">
        <v>5.4109589041095889</v>
      </c>
      <c r="Y65" t="str">
        <v>Part time</v>
      </c>
    </row>
    <row r="66" spans="13:25" x14ac:dyDescent="0.25">
      <c r="M66" t="str">
        <v>PR00007</v>
      </c>
      <c r="N66" t="str">
        <v>Torrance</v>
      </c>
      <c r="O66" t="str">
        <v>Collier</v>
      </c>
      <c r="P66" t="str">
        <v>Female</v>
      </c>
      <c r="Q66" t="str">
        <v>Training</v>
      </c>
      <c r="R66">
        <v>96135.75</v>
      </c>
      <c r="S66" t="str">
        <v>50k to 100k</v>
      </c>
      <c r="T66">
        <v>44025</v>
      </c>
      <c r="U66">
        <v>0.3</v>
      </c>
      <c r="V66" t="str">
        <v>Permanent</v>
      </c>
      <c r="W66" t="str">
        <v>Wellington, New Zealand</v>
      </c>
      <c r="X66">
        <v>3.9424657534246577</v>
      </c>
      <c r="Y66" t="str">
        <v>Part time</v>
      </c>
    </row>
    <row r="67" spans="13:25" x14ac:dyDescent="0.25">
      <c r="M67" t="str">
        <v>PR02140</v>
      </c>
      <c r="N67" t="str">
        <v>Anjushri</v>
      </c>
      <c r="O67" t="str">
        <v>Chandiramani</v>
      </c>
      <c r="P67" t="str">
        <v>Male</v>
      </c>
      <c r="Q67" t="str">
        <v>Accounting</v>
      </c>
      <c r="R67">
        <v>95954.02</v>
      </c>
      <c r="S67" t="str">
        <v>50k to 100k</v>
      </c>
      <c r="T67">
        <v>43567</v>
      </c>
      <c r="U67">
        <v>0.3</v>
      </c>
      <c r="V67" t="str">
        <v>Permanent</v>
      </c>
      <c r="W67" t="str">
        <v>Hyderabad, India</v>
      </c>
      <c r="X67">
        <v>5.1972602739726028</v>
      </c>
      <c r="Y67" t="str">
        <v>Part time</v>
      </c>
    </row>
    <row r="68" spans="13:25" x14ac:dyDescent="0.25">
      <c r="M68" t="str">
        <v>SQ03626</v>
      </c>
      <c r="N68" t="str">
        <v>Krishnakanta</v>
      </c>
      <c r="O68" t="str">
        <v>Vellanki</v>
      </c>
      <c r="P68" t="str">
        <v>Female</v>
      </c>
      <c r="Q68" t="str">
        <v>Training</v>
      </c>
      <c r="R68">
        <v>95677.9</v>
      </c>
      <c r="S68" t="str">
        <v>50k to 100k</v>
      </c>
      <c r="T68">
        <v>44396</v>
      </c>
      <c r="U68">
        <v>0.3</v>
      </c>
      <c r="V68" t="str">
        <v>Permanent</v>
      </c>
      <c r="W68" t="str">
        <v>Chennai, India</v>
      </c>
      <c r="X68">
        <v>2.9260273972602739</v>
      </c>
      <c r="Y68" t="str">
        <v>Part time</v>
      </c>
    </row>
    <row r="69" spans="13:25" x14ac:dyDescent="0.25">
      <c r="M69" t="str">
        <v>VT01101</v>
      </c>
      <c r="N69" t="str">
        <v>Adela</v>
      </c>
      <c r="O69" t="str">
        <v>Dowsett</v>
      </c>
      <c r="P69" t="str">
        <v>Male</v>
      </c>
      <c r="Q69" t="str">
        <v>Support</v>
      </c>
      <c r="R69">
        <v>95017.1</v>
      </c>
      <c r="S69" t="str">
        <v>50k to 100k</v>
      </c>
      <c r="T69">
        <v>43283</v>
      </c>
      <c r="U69">
        <v>1</v>
      </c>
      <c r="V69" t="str">
        <v>Fixed Term</v>
      </c>
      <c r="W69" t="str">
        <v>Seattle, USA</v>
      </c>
      <c r="X69">
        <v>5.9753424657534246</v>
      </c>
      <c r="Y69" t="str">
        <v>Full time</v>
      </c>
    </row>
    <row r="70" spans="13:25" x14ac:dyDescent="0.25">
      <c r="M70" t="str">
        <v>TN00328</v>
      </c>
      <c r="N70" t="str">
        <v>Jeannie</v>
      </c>
      <c r="O70" t="str">
        <v>Petracco</v>
      </c>
      <c r="P70" t="str">
        <v>Female</v>
      </c>
      <c r="Q70" t="str">
        <v>Engineering</v>
      </c>
      <c r="R70">
        <v>94815.28</v>
      </c>
      <c r="S70" t="str">
        <v>50k to 100k</v>
      </c>
      <c r="T70">
        <v>43440</v>
      </c>
      <c r="U70">
        <v>1</v>
      </c>
      <c r="V70" t="str">
        <v>Permanent</v>
      </c>
      <c r="W70" t="str">
        <v>Seattle, USA</v>
      </c>
      <c r="X70">
        <v>5.5452054794520551</v>
      </c>
      <c r="Y70" t="str">
        <v>Full time</v>
      </c>
    </row>
    <row r="71" spans="13:25" x14ac:dyDescent="0.25">
      <c r="M71" t="str">
        <v>TN04265</v>
      </c>
      <c r="N71" t="str">
        <v>Rushil</v>
      </c>
      <c r="O71" t="str">
        <v>Kripa</v>
      </c>
      <c r="P71" t="str">
        <v>Female</v>
      </c>
      <c r="Q71" t="str">
        <v>Training</v>
      </c>
      <c r="R71">
        <v>93964.3</v>
      </c>
      <c r="S71" t="str">
        <v>50k to 100k</v>
      </c>
      <c r="T71">
        <v>44454</v>
      </c>
      <c r="U71">
        <v>0.4</v>
      </c>
      <c r="V71" t="str">
        <v>Fixed Term</v>
      </c>
      <c r="W71" t="str">
        <v>Hyderabad, India</v>
      </c>
      <c r="X71">
        <v>2.7671232876712328</v>
      </c>
      <c r="Y71" t="str">
        <v>Part time</v>
      </c>
    </row>
    <row r="72" spans="13:25" x14ac:dyDescent="0.25">
      <c r="M72" t="str">
        <v>VT01803</v>
      </c>
      <c r="N72" t="str">
        <v>Freddy</v>
      </c>
      <c r="O72" t="str">
        <v>Linford</v>
      </c>
      <c r="P72" t="str">
        <v>Female</v>
      </c>
      <c r="Q72" t="str">
        <v>Training</v>
      </c>
      <c r="R72">
        <v>93128.34</v>
      </c>
      <c r="S72" t="str">
        <v>50k to 100k</v>
      </c>
      <c r="T72">
        <v>43164</v>
      </c>
      <c r="U72">
        <v>1</v>
      </c>
      <c r="V72" t="str">
        <v>Fixed Term</v>
      </c>
      <c r="W72" t="str">
        <v>Seattle, USA</v>
      </c>
      <c r="X72">
        <v>6.3013698630136989</v>
      </c>
      <c r="Y72" t="str">
        <v>Full time</v>
      </c>
    </row>
    <row r="73" spans="13:25" x14ac:dyDescent="0.25">
      <c r="M73" t="str">
        <v>TN02988</v>
      </c>
      <c r="N73" t="str">
        <v>Mahindra</v>
      </c>
      <c r="O73" t="str">
        <v>Sreedharan</v>
      </c>
      <c r="P73" t="str">
        <v>Male</v>
      </c>
      <c r="Q73" t="str">
        <v>Engineering</v>
      </c>
      <c r="R73">
        <v>92943.89</v>
      </c>
      <c r="S73" t="str">
        <v>50k to 100k</v>
      </c>
      <c r="T73">
        <v>44510</v>
      </c>
      <c r="U73">
        <v>1</v>
      </c>
      <c r="V73" t="str">
        <v>Permanent</v>
      </c>
      <c r="W73" t="str">
        <v>Hyderabad, India</v>
      </c>
      <c r="X73">
        <v>2.6136986301369864</v>
      </c>
      <c r="Y73" t="str">
        <v>Full time</v>
      </c>
    </row>
    <row r="74" spans="13:25" x14ac:dyDescent="0.25">
      <c r="M74" t="str">
        <v>TN04175</v>
      </c>
      <c r="N74" t="str">
        <v>Hinda</v>
      </c>
      <c r="O74" t="str">
        <v>Label</v>
      </c>
      <c r="P74" t="str">
        <v>Female</v>
      </c>
      <c r="Q74" t="str">
        <v>Human Resources</v>
      </c>
      <c r="R74">
        <v>92704.48</v>
      </c>
      <c r="S74" t="str">
        <v>50k to 100k</v>
      </c>
      <c r="T74">
        <v>43430</v>
      </c>
      <c r="U74">
        <v>1</v>
      </c>
      <c r="V74" t="str">
        <v>Fixed Term</v>
      </c>
      <c r="W74" t="str">
        <v>Columbus, USA</v>
      </c>
      <c r="X74">
        <v>5.5726027397260278</v>
      </c>
      <c r="Y74" t="str">
        <v>Full time</v>
      </c>
    </row>
    <row r="75" spans="13:25" x14ac:dyDescent="0.25">
      <c r="M75" t="str">
        <v>PR04446</v>
      </c>
      <c r="N75" t="str">
        <v>Sameer</v>
      </c>
      <c r="O75" t="str">
        <v>Shashank</v>
      </c>
      <c r="P75" t="str">
        <v>Female</v>
      </c>
      <c r="Q75" t="str">
        <v>Research and Development</v>
      </c>
      <c r="R75">
        <v>92336.08</v>
      </c>
      <c r="S75" t="str">
        <v>50k to 100k</v>
      </c>
      <c r="T75">
        <v>44431</v>
      </c>
      <c r="U75">
        <v>1</v>
      </c>
      <c r="V75" t="str">
        <v>Permanent</v>
      </c>
      <c r="W75" t="str">
        <v>Hyderabad, India</v>
      </c>
      <c r="X75">
        <v>2.8301369863013699</v>
      </c>
      <c r="Y75" t="str">
        <v>Full time</v>
      </c>
    </row>
    <row r="76" spans="13:25" x14ac:dyDescent="0.25">
      <c r="M76" t="str">
        <v>TN04166</v>
      </c>
      <c r="N76" t="str">
        <v>Tadio</v>
      </c>
      <c r="O76" t="str">
        <v>Dowdle</v>
      </c>
      <c r="P76" t="str">
        <v>Female</v>
      </c>
      <c r="Q76" t="str">
        <v>Product Management</v>
      </c>
      <c r="R76">
        <v>91929.69</v>
      </c>
      <c r="S76" t="str">
        <v>50k to 100k</v>
      </c>
      <c r="T76">
        <v>44085</v>
      </c>
      <c r="U76">
        <v>1</v>
      </c>
      <c r="V76" t="str">
        <v>Fixed Term</v>
      </c>
      <c r="W76" t="str">
        <v>Remote</v>
      </c>
      <c r="X76">
        <v>3.7780821917808218</v>
      </c>
      <c r="Y76" t="str">
        <v>Full time</v>
      </c>
    </row>
    <row r="77" spans="13:25" x14ac:dyDescent="0.25">
      <c r="M77" t="str">
        <v>PR01211</v>
      </c>
      <c r="N77" t="str">
        <v>Enoch</v>
      </c>
      <c r="O77" t="str">
        <v>Dowrey</v>
      </c>
      <c r="P77" t="str">
        <v>Male</v>
      </c>
      <c r="Q77" t="str">
        <v>Accounting</v>
      </c>
      <c r="R77">
        <v>91645.04</v>
      </c>
      <c r="S77" t="str">
        <v>50k to 100k</v>
      </c>
      <c r="T77">
        <v>44223</v>
      </c>
      <c r="U77">
        <v>1</v>
      </c>
      <c r="V77" t="str">
        <v>Permanent</v>
      </c>
      <c r="W77" t="str">
        <v>Auckland, New Zealand</v>
      </c>
      <c r="X77">
        <v>3.4</v>
      </c>
      <c r="Y77" t="str">
        <v>Full time</v>
      </c>
    </row>
    <row r="78" spans="13:25" x14ac:dyDescent="0.25">
      <c r="M78" t="str">
        <v>VT00534</v>
      </c>
      <c r="N78" t="str">
        <v>Roselle</v>
      </c>
      <c r="O78" t="str">
        <v>Wandrach</v>
      </c>
      <c r="P78" t="str">
        <v>Male</v>
      </c>
      <c r="Q78" t="str">
        <v>Sales</v>
      </c>
      <c r="R78">
        <v>91314.75</v>
      </c>
      <c r="S78" t="str">
        <v>50k to 100k</v>
      </c>
      <c r="T78">
        <v>43931</v>
      </c>
      <c r="U78">
        <v>1</v>
      </c>
      <c r="V78" t="str">
        <v>Fixed Term</v>
      </c>
      <c r="W78" t="str">
        <v>Seattle, USA</v>
      </c>
      <c r="X78">
        <v>4.2</v>
      </c>
      <c r="Y78" t="str">
        <v>Full time</v>
      </c>
    </row>
    <row r="79" spans="13:25" x14ac:dyDescent="0.25">
      <c r="M79" t="str">
        <v>SQ02559</v>
      </c>
      <c r="N79" t="str">
        <v>Aldrich</v>
      </c>
      <c r="O79" t="str">
        <v>Glenny</v>
      </c>
      <c r="P79" t="str">
        <v>Male</v>
      </c>
      <c r="Q79" t="str">
        <v>Business Development</v>
      </c>
      <c r="R79">
        <v>90884.32</v>
      </c>
      <c r="S79" t="str">
        <v>50k to 100k</v>
      </c>
      <c r="T79">
        <v>43826</v>
      </c>
      <c r="U79">
        <v>1</v>
      </c>
      <c r="V79" t="str">
        <v>Permanent</v>
      </c>
      <c r="W79" t="str">
        <v>Columbus, USA</v>
      </c>
      <c r="X79">
        <v>4.4876712328767123</v>
      </c>
      <c r="Y79" t="str">
        <v>Full time</v>
      </c>
    </row>
    <row r="80" spans="13:25" x14ac:dyDescent="0.25">
      <c r="M80" t="str">
        <v>SQ02559</v>
      </c>
      <c r="N80" t="str">
        <v>Aldrich</v>
      </c>
      <c r="O80" t="str">
        <v>Glenny</v>
      </c>
      <c r="P80" t="str">
        <v>Male</v>
      </c>
      <c r="Q80" t="str">
        <v>Business Development</v>
      </c>
      <c r="R80">
        <v>90884.32</v>
      </c>
      <c r="S80" t="str">
        <v>50k to 100k</v>
      </c>
      <c r="T80">
        <v>43826</v>
      </c>
      <c r="U80">
        <v>1</v>
      </c>
      <c r="V80" t="str">
        <v>Permanent</v>
      </c>
      <c r="W80" t="str">
        <v>Columbus, USA</v>
      </c>
      <c r="X80">
        <v>4.4876712328767123</v>
      </c>
      <c r="Y80" t="str">
        <v>Full time</v>
      </c>
    </row>
    <row r="81" spans="13:25" x14ac:dyDescent="0.25">
      <c r="M81" t="str">
        <v>TN02204</v>
      </c>
      <c r="N81" t="str">
        <v>Aldrich</v>
      </c>
      <c r="O81" t="str">
        <v>Glenny</v>
      </c>
      <c r="P81" t="str">
        <v>Male</v>
      </c>
      <c r="Q81" t="str">
        <v>Business Development</v>
      </c>
      <c r="R81">
        <v>90884.32</v>
      </c>
      <c r="S81" t="str">
        <v>50k to 100k</v>
      </c>
      <c r="T81">
        <v>44039</v>
      </c>
      <c r="U81">
        <v>0.5</v>
      </c>
      <c r="V81" t="str">
        <v>Permanent</v>
      </c>
      <c r="W81" t="str">
        <v>Columbus, USA</v>
      </c>
      <c r="X81">
        <v>3.904109589041096</v>
      </c>
      <c r="Y81" t="str">
        <v>Part time</v>
      </c>
    </row>
    <row r="82" spans="13:25" x14ac:dyDescent="0.25">
      <c r="M82" t="str">
        <v>SQ01395</v>
      </c>
      <c r="N82" t="str">
        <v>Dennison</v>
      </c>
      <c r="O82" t="str">
        <v>Crosswaite</v>
      </c>
      <c r="P82" t="str">
        <v>Male</v>
      </c>
      <c r="Q82" t="str">
        <v>Legal</v>
      </c>
      <c r="R82">
        <v>90697.67</v>
      </c>
      <c r="S82" t="str">
        <v>50k to 100k</v>
      </c>
      <c r="T82">
        <v>44221</v>
      </c>
      <c r="U82">
        <v>0.8</v>
      </c>
      <c r="V82" t="str">
        <v>Permanent</v>
      </c>
      <c r="W82" t="str">
        <v>Seattle, USA</v>
      </c>
      <c r="X82">
        <v>3.4054794520547946</v>
      </c>
      <c r="Y82" t="str">
        <v>Part time</v>
      </c>
    </row>
    <row r="83" spans="13:25" x14ac:dyDescent="0.25">
      <c r="M83" t="str">
        <v>VT00476</v>
      </c>
      <c r="N83" t="str">
        <v>Adolph</v>
      </c>
      <c r="O83" t="str">
        <v>Hartin</v>
      </c>
      <c r="P83" t="str">
        <v>Male</v>
      </c>
      <c r="Q83" t="str">
        <v>Product Management</v>
      </c>
      <c r="R83">
        <v>89960.6</v>
      </c>
      <c r="S83" t="str">
        <v>50k to 100k</v>
      </c>
      <c r="T83">
        <v>43515</v>
      </c>
      <c r="U83">
        <v>1</v>
      </c>
      <c r="V83" t="str">
        <v>Fixed Term</v>
      </c>
      <c r="W83" t="str">
        <v>Auckland, New Zealand</v>
      </c>
      <c r="X83">
        <v>5.3397260273972602</v>
      </c>
      <c r="Y83" t="str">
        <v>Full time</v>
      </c>
    </row>
    <row r="84" spans="13:25" x14ac:dyDescent="0.25">
      <c r="M84" t="str">
        <v>TN01210</v>
      </c>
      <c r="N84" t="str">
        <v>Alyosha</v>
      </c>
      <c r="O84" t="str">
        <v>Riquet</v>
      </c>
      <c r="P84" t="str">
        <v>Male</v>
      </c>
      <c r="Q84" t="str">
        <v>Legal</v>
      </c>
      <c r="R84">
        <v>89838.77</v>
      </c>
      <c r="S84" t="str">
        <v>50k to 100k</v>
      </c>
      <c r="T84">
        <v>43602</v>
      </c>
      <c r="U84">
        <v>1</v>
      </c>
      <c r="V84" t="str">
        <v>Permanent</v>
      </c>
      <c r="W84" t="str">
        <v>Remote</v>
      </c>
      <c r="X84">
        <v>5.1013698630136988</v>
      </c>
      <c r="Y84" t="str">
        <v>Full time</v>
      </c>
    </row>
    <row r="85" spans="13:25" x14ac:dyDescent="0.25">
      <c r="M85" t="str">
        <v>VT03701</v>
      </c>
      <c r="N85" t="str">
        <v>Narois</v>
      </c>
      <c r="O85" t="str">
        <v>Motiwala</v>
      </c>
      <c r="P85" t="str">
        <v>Female</v>
      </c>
      <c r="Q85" t="str">
        <v>Product Management</v>
      </c>
      <c r="R85">
        <v>89829.33</v>
      </c>
      <c r="S85" t="str">
        <v>50k to 100k</v>
      </c>
      <c r="T85">
        <v>43794</v>
      </c>
      <c r="U85">
        <v>1</v>
      </c>
      <c r="V85" t="str">
        <v>Temporary</v>
      </c>
      <c r="W85" t="str">
        <v>Chennai, India</v>
      </c>
      <c r="X85">
        <v>4.5753424657534243</v>
      </c>
      <c r="Y85" t="str">
        <v>Full time</v>
      </c>
    </row>
    <row r="86" spans="13:25" x14ac:dyDescent="0.25">
      <c r="M86" t="str">
        <v>PR03158</v>
      </c>
      <c r="N86" t="str">
        <v>Danica</v>
      </c>
      <c r="O86" t="str">
        <v>Nayshe</v>
      </c>
      <c r="P86" t="str">
        <v>Female</v>
      </c>
      <c r="Q86" t="str">
        <v>Services</v>
      </c>
      <c r="R86">
        <v>89690.38</v>
      </c>
      <c r="S86" t="str">
        <v>50k to 100k</v>
      </c>
      <c r="T86">
        <v>43206</v>
      </c>
      <c r="U86">
        <v>1</v>
      </c>
      <c r="V86" t="str">
        <v>Permanent</v>
      </c>
      <c r="W86" t="str">
        <v>Wellington, New Zealand</v>
      </c>
      <c r="X86">
        <v>6.1863013698630134</v>
      </c>
      <c r="Y86" t="str">
        <v>Full time</v>
      </c>
    </row>
    <row r="87" spans="13:25" x14ac:dyDescent="0.25">
      <c r="M87" t="str">
        <v>SQ00841</v>
      </c>
      <c r="N87" t="str">
        <v>Bhuvan</v>
      </c>
      <c r="O87" t="str">
        <v>Pals</v>
      </c>
      <c r="P87" t="str">
        <v>Female</v>
      </c>
      <c r="Q87" t="str">
        <v>Services</v>
      </c>
      <c r="R87">
        <v>89690.38</v>
      </c>
      <c r="S87" t="str">
        <v>50k to 100k</v>
      </c>
      <c r="T87">
        <v>43213</v>
      </c>
      <c r="U87">
        <v>1</v>
      </c>
      <c r="V87" t="str">
        <v>Permanent</v>
      </c>
      <c r="W87" t="str">
        <v>Hyderabad, India</v>
      </c>
      <c r="X87">
        <v>6.1671232876712327</v>
      </c>
      <c r="Y87" t="str">
        <v>Full time</v>
      </c>
    </row>
    <row r="88" spans="13:25" x14ac:dyDescent="0.25">
      <c r="M88" t="str">
        <v>SQ02638</v>
      </c>
      <c r="N88" t="str">
        <v>Cara</v>
      </c>
      <c r="O88" t="str">
        <v>Havers</v>
      </c>
      <c r="P88" t="str">
        <v>Male</v>
      </c>
      <c r="Q88" t="str">
        <v>Marketing</v>
      </c>
      <c r="R88">
        <v>89605.13</v>
      </c>
      <c r="S88" t="str">
        <v>50k to 100k</v>
      </c>
      <c r="T88">
        <v>43258</v>
      </c>
      <c r="U88">
        <v>1</v>
      </c>
      <c r="V88" t="str">
        <v>Permanent</v>
      </c>
      <c r="W88" t="str">
        <v>Seattle, USA</v>
      </c>
      <c r="X88">
        <v>6.043835616438356</v>
      </c>
      <c r="Y88" t="str">
        <v>Full time</v>
      </c>
    </row>
    <row r="89" spans="13:25" x14ac:dyDescent="0.25">
      <c r="M89" t="str">
        <v>TN01912</v>
      </c>
      <c r="N89" t="str">
        <v>Fred</v>
      </c>
      <c r="O89" t="str">
        <v>Dudeney</v>
      </c>
      <c r="P89" t="str">
        <v>Male</v>
      </c>
      <c r="Q89" t="str">
        <v>Services</v>
      </c>
      <c r="R89">
        <v>88689.09</v>
      </c>
      <c r="S89" t="str">
        <v>50k to 100k</v>
      </c>
      <c r="T89">
        <v>43740</v>
      </c>
      <c r="U89">
        <v>1</v>
      </c>
      <c r="V89" t="str">
        <v>Permanent</v>
      </c>
      <c r="W89" t="str">
        <v>Seattle, USA</v>
      </c>
      <c r="X89">
        <v>4.7232876712328764</v>
      </c>
      <c r="Y89" t="str">
        <v>Full time</v>
      </c>
    </row>
    <row r="90" spans="13:25" x14ac:dyDescent="0.25">
      <c r="M90" t="str">
        <v>TN01632</v>
      </c>
      <c r="N90" t="str">
        <v>Katya</v>
      </c>
      <c r="O90" t="str">
        <v>Hundy</v>
      </c>
      <c r="P90" t="str">
        <v>Male</v>
      </c>
      <c r="Q90" t="str">
        <v>Business Development</v>
      </c>
      <c r="R90">
        <v>88511.17</v>
      </c>
      <c r="S90" t="str">
        <v>50k to 100k</v>
      </c>
      <c r="T90">
        <v>43950</v>
      </c>
      <c r="U90">
        <v>1</v>
      </c>
      <c r="V90" t="str">
        <v>Permanent</v>
      </c>
      <c r="W90" t="str">
        <v>Columbus, USA</v>
      </c>
      <c r="X90">
        <v>4.1479452054794521</v>
      </c>
      <c r="Y90" t="str">
        <v>Full time</v>
      </c>
    </row>
    <row r="91" spans="13:25" x14ac:dyDescent="0.25">
      <c r="M91" t="str">
        <v>SQ02643</v>
      </c>
      <c r="N91" t="str">
        <v>Indu</v>
      </c>
      <c r="O91" t="str">
        <v>Varada</v>
      </c>
      <c r="P91" t="str">
        <v>Female</v>
      </c>
      <c r="Q91" t="str">
        <v>Engineering</v>
      </c>
      <c r="R91">
        <v>88425.08</v>
      </c>
      <c r="S91" t="str">
        <v>50k to 100k</v>
      </c>
      <c r="T91">
        <v>43662</v>
      </c>
      <c r="U91">
        <v>1</v>
      </c>
      <c r="V91" t="str">
        <v>Permanent</v>
      </c>
      <c r="W91" t="str">
        <v>Hyderabad, India</v>
      </c>
      <c r="X91">
        <v>4.9369863013698634</v>
      </c>
      <c r="Y91" t="str">
        <v>Full time</v>
      </c>
    </row>
    <row r="92" spans="13:25" x14ac:dyDescent="0.25">
      <c r="M92" t="str">
        <v>TN00698</v>
      </c>
      <c r="N92" t="str">
        <v>Barbara-anne</v>
      </c>
      <c r="O92" t="str">
        <v>Kenchington</v>
      </c>
      <c r="P92" t="str">
        <v>Female</v>
      </c>
      <c r="Q92" t="str">
        <v>Support</v>
      </c>
      <c r="R92">
        <v>88034.67</v>
      </c>
      <c r="S92" t="str">
        <v>50k to 100k</v>
      </c>
      <c r="T92">
        <v>43669</v>
      </c>
      <c r="U92">
        <v>1</v>
      </c>
      <c r="V92" t="str">
        <v>Permanent</v>
      </c>
      <c r="W92" t="str">
        <v>Remote</v>
      </c>
      <c r="X92">
        <v>4.9178082191780819</v>
      </c>
      <c r="Y92" t="str">
        <v>Full time</v>
      </c>
    </row>
    <row r="93" spans="13:25" x14ac:dyDescent="0.25">
      <c r="M93" t="str">
        <v>VT01523</v>
      </c>
      <c r="N93" t="str">
        <v>Charmane</v>
      </c>
      <c r="O93" t="str">
        <v>Heistermann</v>
      </c>
      <c r="P93" t="str">
        <v>Female</v>
      </c>
      <c r="Q93" t="str">
        <v>Business Development</v>
      </c>
      <c r="R93">
        <v>86558.58</v>
      </c>
      <c r="S93" t="str">
        <v>50k to 100k</v>
      </c>
      <c r="T93">
        <v>43887</v>
      </c>
      <c r="U93">
        <v>1</v>
      </c>
      <c r="V93" t="str">
        <v>Fixed Term</v>
      </c>
      <c r="W93" t="str">
        <v>Remote</v>
      </c>
      <c r="X93">
        <v>4.3205479452054796</v>
      </c>
      <c r="Y93" t="str">
        <v>Full time</v>
      </c>
    </row>
    <row r="94" spans="13:25" x14ac:dyDescent="0.25">
      <c r="M94" t="str">
        <v>SQ01177</v>
      </c>
      <c r="N94" t="str">
        <v>Nazeer</v>
      </c>
      <c r="O94" t="str">
        <v>Basha</v>
      </c>
      <c r="P94" t="str">
        <v>Male</v>
      </c>
      <c r="Q94" t="str">
        <v>Human Resources</v>
      </c>
      <c r="R94">
        <v>86556.96</v>
      </c>
      <c r="S94" t="str">
        <v>50k to 100k</v>
      </c>
      <c r="T94">
        <v>44104</v>
      </c>
      <c r="U94">
        <v>1</v>
      </c>
      <c r="V94" t="str">
        <v>Permanent</v>
      </c>
      <c r="W94" t="str">
        <v>Hyderabad, India</v>
      </c>
      <c r="X94">
        <v>3.7260273972602738</v>
      </c>
      <c r="Y94" t="str">
        <v>Full time</v>
      </c>
    </row>
    <row r="95" spans="13:25" x14ac:dyDescent="0.25">
      <c r="M95" t="str">
        <v>VT01323</v>
      </c>
      <c r="N95" t="str">
        <v>Mardav</v>
      </c>
      <c r="O95" t="str">
        <v>Ramaswami</v>
      </c>
      <c r="P95" t="str">
        <v>Female</v>
      </c>
      <c r="Q95" t="str">
        <v>Business Development</v>
      </c>
      <c r="R95">
        <v>86233.83</v>
      </c>
      <c r="S95" t="str">
        <v>50k to 100k</v>
      </c>
      <c r="T95">
        <v>43706</v>
      </c>
      <c r="U95">
        <v>1</v>
      </c>
      <c r="V95" t="str">
        <v>Fixed Term</v>
      </c>
      <c r="W95" t="str">
        <v>Chennai, India</v>
      </c>
      <c r="X95">
        <v>4.816438356164384</v>
      </c>
      <c r="Y95" t="str">
        <v>Full time</v>
      </c>
    </row>
    <row r="96" spans="13:25" x14ac:dyDescent="0.25">
      <c r="M96" t="str">
        <v>SQ00105</v>
      </c>
      <c r="N96" t="str">
        <v>Sarayu</v>
      </c>
      <c r="O96" t="str">
        <v>Ragunathan</v>
      </c>
      <c r="P96" t="str">
        <v>Female</v>
      </c>
      <c r="Q96" t="str">
        <v>Training</v>
      </c>
      <c r="R96">
        <v>86010.54</v>
      </c>
      <c r="S96" t="str">
        <v>50k to 100k</v>
      </c>
      <c r="T96">
        <v>43164</v>
      </c>
      <c r="U96">
        <v>1</v>
      </c>
      <c r="V96" t="str">
        <v>Permanent</v>
      </c>
      <c r="W96" t="str">
        <v>Chennai, India</v>
      </c>
      <c r="X96">
        <v>6.3013698630136989</v>
      </c>
      <c r="Y96" t="str">
        <v>Full time</v>
      </c>
    </row>
    <row r="97" spans="13:25" x14ac:dyDescent="0.25">
      <c r="M97" t="str">
        <v>PR01346</v>
      </c>
      <c r="N97" t="str">
        <v>Adolph</v>
      </c>
      <c r="O97" t="str">
        <v>McNalley</v>
      </c>
      <c r="P97" t="str">
        <v>Male</v>
      </c>
      <c r="Q97" t="str">
        <v>Business Development</v>
      </c>
      <c r="R97">
        <v>85918.61</v>
      </c>
      <c r="S97" t="str">
        <v>50k to 100k</v>
      </c>
      <c r="T97">
        <v>43136</v>
      </c>
      <c r="U97">
        <v>1</v>
      </c>
      <c r="V97" t="str">
        <v>Permanent</v>
      </c>
      <c r="W97" t="str">
        <v>Columbus, USA</v>
      </c>
      <c r="X97">
        <v>6.3780821917808215</v>
      </c>
      <c r="Y97" t="str">
        <v>Full time</v>
      </c>
    </row>
    <row r="98" spans="13:25" x14ac:dyDescent="0.25">
      <c r="M98" t="str">
        <v>SQ02246</v>
      </c>
      <c r="N98" t="str">
        <v>Matias</v>
      </c>
      <c r="O98" t="str">
        <v>Cormack</v>
      </c>
      <c r="P98" t="str">
        <v>Male</v>
      </c>
      <c r="Q98" t="str">
        <v>Research and Development</v>
      </c>
      <c r="R98">
        <v>85455.53</v>
      </c>
      <c r="S98" t="str">
        <v>50k to 100k</v>
      </c>
      <c r="T98">
        <v>43839</v>
      </c>
      <c r="U98">
        <v>1</v>
      </c>
      <c r="V98" t="str">
        <v>Permanent</v>
      </c>
      <c r="W98" t="str">
        <v>Wellington, New Zealand</v>
      </c>
      <c r="X98">
        <v>4.4520547945205475</v>
      </c>
      <c r="Y98" t="str">
        <v>Full time</v>
      </c>
    </row>
    <row r="99" spans="13:25" x14ac:dyDescent="0.25">
      <c r="M99" t="str">
        <v>SQ04613</v>
      </c>
      <c r="N99" t="str">
        <v>Sarojini</v>
      </c>
      <c r="O99" t="str">
        <v>Naueshwara</v>
      </c>
      <c r="P99" t="str">
        <v>Female</v>
      </c>
      <c r="Q99" t="str">
        <v>Human Resources</v>
      </c>
      <c r="R99">
        <v>85264.38</v>
      </c>
      <c r="S99" t="str">
        <v>50k to 100k</v>
      </c>
      <c r="T99">
        <v>43220</v>
      </c>
      <c r="U99">
        <v>1</v>
      </c>
      <c r="V99" t="str">
        <v>Permanent</v>
      </c>
      <c r="W99" t="str">
        <v>Chennai, India</v>
      </c>
      <c r="X99">
        <v>6.1479452054794521</v>
      </c>
      <c r="Y99" t="str">
        <v>Full time</v>
      </c>
    </row>
    <row r="100" spans="13:25" x14ac:dyDescent="0.25">
      <c r="M100" t="str">
        <v>TN02883</v>
      </c>
      <c r="N100" t="str">
        <v>John</v>
      </c>
      <c r="O100" t="str">
        <v>Joseph</v>
      </c>
      <c r="P100" t="str">
        <v>Female</v>
      </c>
      <c r="Q100" t="str">
        <v>Sales</v>
      </c>
      <c r="R100">
        <v>84762.76</v>
      </c>
      <c r="S100" t="str">
        <v>50k to 100k</v>
      </c>
      <c r="T100">
        <v>43332</v>
      </c>
      <c r="U100">
        <v>1</v>
      </c>
      <c r="V100" t="str">
        <v>Permanent</v>
      </c>
      <c r="W100" t="str">
        <v>Hyderabad, India</v>
      </c>
      <c r="X100">
        <v>5.8410958904109593</v>
      </c>
      <c r="Y100" t="str">
        <v>Full time</v>
      </c>
    </row>
    <row r="101" spans="13:25" x14ac:dyDescent="0.25">
      <c r="M101" t="str">
        <v>PR02957</v>
      </c>
      <c r="N101" t="str">
        <v>Vaughn</v>
      </c>
      <c r="O101" t="str">
        <v>Carvill</v>
      </c>
      <c r="P101" t="str">
        <v>Female</v>
      </c>
      <c r="Q101" t="str">
        <v>Training</v>
      </c>
      <c r="R101">
        <v>84745.93</v>
      </c>
      <c r="S101" t="str">
        <v>50k to 100k</v>
      </c>
      <c r="T101">
        <v>43707</v>
      </c>
      <c r="U101">
        <v>1</v>
      </c>
      <c r="V101" t="str">
        <v>Permanent</v>
      </c>
      <c r="W101" t="str">
        <v>Wellington, New Zealand</v>
      </c>
      <c r="X101">
        <v>4.8136986301369866</v>
      </c>
      <c r="Y101" t="str">
        <v>Full time</v>
      </c>
    </row>
    <row r="102" spans="13:25" x14ac:dyDescent="0.25">
      <c r="M102" t="str">
        <v>PR01306</v>
      </c>
      <c r="N102" t="str">
        <v>Patti</v>
      </c>
      <c r="O102" t="str">
        <v>Dradey</v>
      </c>
      <c r="P102" t="str">
        <v>Male</v>
      </c>
      <c r="Q102" t="str">
        <v>Services</v>
      </c>
      <c r="R102">
        <v>84742.86</v>
      </c>
      <c r="S102" t="str">
        <v>50k to 100k</v>
      </c>
      <c r="T102">
        <v>44098</v>
      </c>
      <c r="U102">
        <v>1</v>
      </c>
      <c r="V102" t="str">
        <v>Permanent</v>
      </c>
      <c r="W102" t="str">
        <v>Auckland, New Zealand</v>
      </c>
      <c r="X102">
        <v>3.7424657534246575</v>
      </c>
      <c r="Y102" t="str">
        <v>Full time</v>
      </c>
    </row>
    <row r="103" spans="13:25" x14ac:dyDescent="0.25">
      <c r="M103" t="str">
        <v>VT00596</v>
      </c>
      <c r="N103" t="str">
        <v>Letisha</v>
      </c>
      <c r="O103" t="str">
        <v>Carrett</v>
      </c>
      <c r="P103" t="str">
        <v>Female</v>
      </c>
      <c r="Q103" t="str">
        <v>Sales</v>
      </c>
      <c r="R103">
        <v>84598.88</v>
      </c>
      <c r="S103" t="str">
        <v>50k to 100k</v>
      </c>
      <c r="T103">
        <v>44116</v>
      </c>
      <c r="U103">
        <v>1</v>
      </c>
      <c r="V103" t="str">
        <v>Fixed Term</v>
      </c>
      <c r="W103" t="str">
        <v>Seattle, USA</v>
      </c>
      <c r="X103">
        <v>3.6931506849315068</v>
      </c>
      <c r="Y103" t="str">
        <v>Full time</v>
      </c>
    </row>
    <row r="104" spans="13:25" x14ac:dyDescent="0.25">
      <c r="M104" t="str">
        <v>VT00596</v>
      </c>
      <c r="N104" t="str">
        <v>Letisha</v>
      </c>
      <c r="O104" t="str">
        <v>Carrett</v>
      </c>
      <c r="P104" t="str">
        <v>Female</v>
      </c>
      <c r="Q104" t="str">
        <v>Sales</v>
      </c>
      <c r="R104">
        <v>84598.88</v>
      </c>
      <c r="S104" t="str">
        <v>50k to 100k</v>
      </c>
      <c r="T104">
        <v>44116</v>
      </c>
      <c r="U104">
        <v>1</v>
      </c>
      <c r="V104" t="str">
        <v>Fixed Term</v>
      </c>
      <c r="W104" t="str">
        <v>Seattle, USA</v>
      </c>
      <c r="X104">
        <v>3.6931506849315068</v>
      </c>
      <c r="Y104" t="str">
        <v>Full time</v>
      </c>
    </row>
    <row r="105" spans="13:25" x14ac:dyDescent="0.25">
      <c r="M105" t="str">
        <v>PR00916</v>
      </c>
      <c r="N105" t="str">
        <v>Inger</v>
      </c>
      <c r="O105" t="str">
        <v>Chapelhow</v>
      </c>
      <c r="P105" t="str">
        <v>Female</v>
      </c>
      <c r="Q105" t="str">
        <v>Research and Development</v>
      </c>
      <c r="R105">
        <v>84309.95</v>
      </c>
      <c r="S105" t="str">
        <v>50k to 100k</v>
      </c>
      <c r="T105">
        <v>44501</v>
      </c>
      <c r="U105">
        <v>1</v>
      </c>
      <c r="V105" t="str">
        <v>Permanent</v>
      </c>
      <c r="W105" t="str">
        <v>Remote</v>
      </c>
      <c r="X105">
        <v>2.6383561643835618</v>
      </c>
      <c r="Y105" t="str">
        <v>Full time</v>
      </c>
    </row>
    <row r="106" spans="13:25" x14ac:dyDescent="0.25">
      <c r="M106" t="str">
        <v>VT03993</v>
      </c>
      <c r="N106" t="str">
        <v>Dulce</v>
      </c>
      <c r="O106" t="str">
        <v>Colbeck</v>
      </c>
      <c r="P106" t="str">
        <v>Male</v>
      </c>
      <c r="Q106" t="str">
        <v>Human Resources</v>
      </c>
      <c r="R106">
        <v>83396.5</v>
      </c>
      <c r="S106" t="str">
        <v>50k to 100k</v>
      </c>
      <c r="T106">
        <v>44285</v>
      </c>
      <c r="U106">
        <v>1</v>
      </c>
      <c r="V106" t="str">
        <v>Temporary</v>
      </c>
      <c r="W106" t="str">
        <v>Auckland, New Zealand</v>
      </c>
      <c r="X106">
        <v>3.2301369863013698</v>
      </c>
      <c r="Y106" t="str">
        <v>Full time</v>
      </c>
    </row>
    <row r="107" spans="13:25" x14ac:dyDescent="0.25">
      <c r="M107" t="str">
        <v>VT03307</v>
      </c>
      <c r="N107" t="str">
        <v>Tallie</v>
      </c>
      <c r="O107" t="str">
        <v>Chaikovski</v>
      </c>
      <c r="P107" t="str">
        <v>Male</v>
      </c>
      <c r="Q107" t="str">
        <v>Sales</v>
      </c>
      <c r="R107">
        <v>83191.95</v>
      </c>
      <c r="S107" t="str">
        <v>50k to 100k</v>
      </c>
      <c r="T107">
        <v>43700</v>
      </c>
      <c r="U107">
        <v>0.6</v>
      </c>
      <c r="V107" t="str">
        <v>Temporary</v>
      </c>
      <c r="W107" t="str">
        <v>Remote</v>
      </c>
      <c r="X107">
        <v>4.8328767123287673</v>
      </c>
      <c r="Y107" t="str">
        <v>Part time</v>
      </c>
    </row>
    <row r="108" spans="13:25" x14ac:dyDescent="0.25">
      <c r="M108" t="str">
        <v>VT03298</v>
      </c>
      <c r="N108" t="str">
        <v>Nonah</v>
      </c>
      <c r="O108" t="str">
        <v>Bissell</v>
      </c>
      <c r="P108" t="str">
        <v>Male</v>
      </c>
      <c r="Q108" t="str">
        <v>Engineering</v>
      </c>
      <c r="R108">
        <v>82239.53</v>
      </c>
      <c r="S108" t="str">
        <v>50k to 100k</v>
      </c>
      <c r="T108">
        <v>43846</v>
      </c>
      <c r="U108">
        <v>1</v>
      </c>
      <c r="V108" t="str">
        <v>Temporary</v>
      </c>
      <c r="W108" t="str">
        <v>Columbus, USA</v>
      </c>
      <c r="X108">
        <v>4.4328767123287669</v>
      </c>
      <c r="Y108" t="str">
        <v>Full time</v>
      </c>
    </row>
    <row r="109" spans="13:25" x14ac:dyDescent="0.25">
      <c r="M109" t="str">
        <v>PR02321</v>
      </c>
      <c r="N109" t="str">
        <v>Evanne</v>
      </c>
      <c r="O109" t="str">
        <v>Sheryn</v>
      </c>
      <c r="P109" t="str">
        <v>Female</v>
      </c>
      <c r="Q109" t="str">
        <v>Services</v>
      </c>
      <c r="R109">
        <v>81897.789999999994</v>
      </c>
      <c r="S109" t="str">
        <v>50k to 100k</v>
      </c>
      <c r="T109">
        <v>43146</v>
      </c>
      <c r="U109">
        <v>1</v>
      </c>
      <c r="V109" t="str">
        <v>Permanent</v>
      </c>
      <c r="W109" t="str">
        <v>Auckland, New Zealand</v>
      </c>
      <c r="X109">
        <v>6.3506849315068497</v>
      </c>
      <c r="Y109" t="str">
        <v>Full time</v>
      </c>
    </row>
    <row r="110" spans="13:25" x14ac:dyDescent="0.25">
      <c r="M110" t="str">
        <v>VT03771</v>
      </c>
      <c r="N110" t="str">
        <v>Marjie</v>
      </c>
      <c r="O110" t="str">
        <v>Bamford</v>
      </c>
      <c r="P110" t="str">
        <v>Male</v>
      </c>
      <c r="Q110" t="str">
        <v>Sales</v>
      </c>
      <c r="R110">
        <v>80772.92</v>
      </c>
      <c r="S110" t="str">
        <v>50k to 100k</v>
      </c>
      <c r="T110">
        <v>44137</v>
      </c>
      <c r="U110">
        <v>1</v>
      </c>
      <c r="V110" t="str">
        <v>Temporary</v>
      </c>
      <c r="W110" t="str">
        <v>Remote</v>
      </c>
      <c r="X110">
        <v>3.6356164383561644</v>
      </c>
      <c r="Y110" t="str">
        <v>Full time</v>
      </c>
    </row>
    <row r="111" spans="13:25" x14ac:dyDescent="0.25">
      <c r="M111" t="str">
        <v>PR00113</v>
      </c>
      <c r="N111" t="str">
        <v>Van</v>
      </c>
      <c r="O111" t="str">
        <v>Tuxwell</v>
      </c>
      <c r="P111" t="str">
        <v>Female</v>
      </c>
      <c r="Q111" t="str">
        <v>Business Growth</v>
      </c>
      <c r="R111">
        <v>80695.740000000005</v>
      </c>
      <c r="S111" t="str">
        <v>50k to 100k</v>
      </c>
      <c r="T111">
        <v>43360</v>
      </c>
      <c r="U111">
        <v>1</v>
      </c>
      <c r="V111" t="str">
        <v>Permanent</v>
      </c>
      <c r="W111" t="str">
        <v>Columbus, USA</v>
      </c>
      <c r="X111">
        <v>5.7643835616438359</v>
      </c>
      <c r="Y111" t="str">
        <v>Full time</v>
      </c>
    </row>
    <row r="112" spans="13:25" x14ac:dyDescent="0.25">
      <c r="M112" t="str">
        <v>PR00113</v>
      </c>
      <c r="N112" t="str">
        <v>Van</v>
      </c>
      <c r="O112" t="str">
        <v>Tuxwell</v>
      </c>
      <c r="P112" t="str">
        <v>Female</v>
      </c>
      <c r="Q112" t="str">
        <v>Business Development</v>
      </c>
      <c r="R112">
        <v>80695.740000000005</v>
      </c>
      <c r="S112" t="str">
        <v>50k to 100k</v>
      </c>
      <c r="T112">
        <v>43360</v>
      </c>
      <c r="U112">
        <v>1</v>
      </c>
      <c r="V112" t="str">
        <v>Permanent</v>
      </c>
      <c r="W112" t="str">
        <v>Columbus, USA</v>
      </c>
      <c r="X112">
        <v>5.7643835616438359</v>
      </c>
      <c r="Y112" t="str">
        <v>Full time</v>
      </c>
    </row>
    <row r="113" spans="13:25" x14ac:dyDescent="0.25">
      <c r="M113" t="str">
        <v>PR04380</v>
      </c>
      <c r="N113" t="str">
        <v>Van</v>
      </c>
      <c r="O113" t="str">
        <v>Tuxwell</v>
      </c>
      <c r="P113" t="str">
        <v>Female</v>
      </c>
      <c r="Q113" t="str">
        <v>Business Development</v>
      </c>
      <c r="R113">
        <v>80695.740000000005</v>
      </c>
      <c r="S113" t="str">
        <v>50k to 100k</v>
      </c>
      <c r="T113">
        <v>43787</v>
      </c>
      <c r="U113">
        <v>0.8</v>
      </c>
      <c r="V113" t="str">
        <v>Permanent</v>
      </c>
      <c r="W113" t="str">
        <v>Columbus, USA</v>
      </c>
      <c r="X113">
        <v>4.5945205479452058</v>
      </c>
      <c r="Y113" t="str">
        <v>Part time</v>
      </c>
    </row>
    <row r="114" spans="13:25" x14ac:dyDescent="0.25">
      <c r="M114" t="str">
        <v>TN01566</v>
      </c>
      <c r="N114" t="str">
        <v>Fonzie</v>
      </c>
      <c r="O114" t="str">
        <v>O'Shea</v>
      </c>
      <c r="P114" t="str">
        <v>Male</v>
      </c>
      <c r="Q114" t="str">
        <v>Product Management</v>
      </c>
      <c r="R114">
        <v>80360.41</v>
      </c>
      <c r="S114" t="str">
        <v>50k to 100k</v>
      </c>
      <c r="T114">
        <v>44167</v>
      </c>
      <c r="U114">
        <v>1</v>
      </c>
      <c r="V114" t="str">
        <v>Permanent</v>
      </c>
      <c r="W114" t="str">
        <v>Remote</v>
      </c>
      <c r="X114">
        <v>3.5534246575342467</v>
      </c>
      <c r="Y114" t="str">
        <v>Full time</v>
      </c>
    </row>
    <row r="115" spans="13:25" x14ac:dyDescent="0.25">
      <c r="M115" t="str">
        <v>TN01876</v>
      </c>
      <c r="N115" t="str">
        <v>Aileen</v>
      </c>
      <c r="O115" t="str">
        <v>McCritchie</v>
      </c>
      <c r="P115" t="str">
        <v>Male</v>
      </c>
      <c r="Q115" t="str">
        <v>Business Development</v>
      </c>
      <c r="R115">
        <v>80169.42</v>
      </c>
      <c r="S115" t="str">
        <v>50k to 100k</v>
      </c>
      <c r="T115">
        <v>44053</v>
      </c>
      <c r="U115">
        <v>1</v>
      </c>
      <c r="V115" t="str">
        <v>Permanent</v>
      </c>
      <c r="W115" t="str">
        <v>Auckland, New Zealand</v>
      </c>
      <c r="X115">
        <v>3.8657534246575342</v>
      </c>
      <c r="Y115" t="str">
        <v>Full time</v>
      </c>
    </row>
    <row r="116" spans="13:25" x14ac:dyDescent="0.25">
      <c r="M116" t="str">
        <v>TN01876</v>
      </c>
      <c r="N116" t="str">
        <v>Aileen</v>
      </c>
      <c r="O116" t="str">
        <v>McCritchie</v>
      </c>
      <c r="P116" t="str">
        <v>Male</v>
      </c>
      <c r="Q116" t="str">
        <v>Business Development</v>
      </c>
      <c r="R116">
        <v>80169.42</v>
      </c>
      <c r="S116" t="str">
        <v>50k to 100k</v>
      </c>
      <c r="T116">
        <v>44053</v>
      </c>
      <c r="U116">
        <v>1</v>
      </c>
      <c r="V116" t="str">
        <v>Permanent</v>
      </c>
      <c r="W116" t="str">
        <v>Auckland, New Zealand</v>
      </c>
      <c r="X116">
        <v>3.8657534246575342</v>
      </c>
      <c r="Y116" t="str">
        <v>Full time</v>
      </c>
    </row>
    <row r="117" spans="13:25" x14ac:dyDescent="0.25">
      <c r="M117" t="str">
        <v>TN03210</v>
      </c>
      <c r="N117" t="str">
        <v>Suman</v>
      </c>
      <c r="O117" t="str">
        <v>Katte</v>
      </c>
      <c r="P117" t="str">
        <v>Male</v>
      </c>
      <c r="Q117" t="str">
        <v>Training</v>
      </c>
      <c r="R117">
        <v>79567.69</v>
      </c>
      <c r="S117" t="str">
        <v>50k to 100k</v>
      </c>
      <c r="T117">
        <v>43272</v>
      </c>
      <c r="U117">
        <v>1</v>
      </c>
      <c r="V117" t="str">
        <v>Fixed Term</v>
      </c>
      <c r="W117" t="str">
        <v>Chennai, India</v>
      </c>
      <c r="X117">
        <v>6.0054794520547947</v>
      </c>
      <c r="Y117" t="str">
        <v>Full time</v>
      </c>
    </row>
    <row r="118" spans="13:25" x14ac:dyDescent="0.25">
      <c r="M118" t="str">
        <v>VT04137</v>
      </c>
      <c r="N118" t="str">
        <v>Marissa</v>
      </c>
      <c r="O118" t="str">
        <v>Infante</v>
      </c>
      <c r="P118" t="str">
        <v>Need to check</v>
      </c>
      <c r="Q118" t="str">
        <v>Training</v>
      </c>
      <c r="R118">
        <v>78840.23</v>
      </c>
      <c r="S118" t="str">
        <v>50k to 100k</v>
      </c>
      <c r="T118">
        <v>43633</v>
      </c>
      <c r="U118">
        <v>1</v>
      </c>
      <c r="V118" t="str">
        <v>Temporary</v>
      </c>
      <c r="W118" t="str">
        <v>Remote</v>
      </c>
      <c r="X118">
        <v>5.0164383561643833</v>
      </c>
      <c r="Y118" t="str">
        <v>Full time</v>
      </c>
    </row>
    <row r="119" spans="13:25" x14ac:dyDescent="0.25">
      <c r="M119" t="str">
        <v>TN03355</v>
      </c>
      <c r="N119" t="str">
        <v>Ruby</v>
      </c>
      <c r="O119" t="str">
        <v>Cracie</v>
      </c>
      <c r="P119" t="str">
        <v>Male</v>
      </c>
      <c r="Q119" t="str">
        <v>Research and Development</v>
      </c>
      <c r="R119">
        <v>78705.929999999993</v>
      </c>
      <c r="S119" t="str">
        <v>50k to 100k</v>
      </c>
      <c r="T119">
        <v>43409</v>
      </c>
      <c r="U119">
        <v>1</v>
      </c>
      <c r="V119" t="str">
        <v>Fixed Term</v>
      </c>
      <c r="W119" t="str">
        <v>Seattle, USA</v>
      </c>
      <c r="X119">
        <v>5.6301369863013697</v>
      </c>
      <c r="Y119" t="str">
        <v>Full time</v>
      </c>
    </row>
    <row r="120" spans="13:25" x14ac:dyDescent="0.25">
      <c r="M120" t="str">
        <v>VT00687</v>
      </c>
      <c r="N120" t="str">
        <v>Godavari</v>
      </c>
      <c r="O120" t="str">
        <v>Veena</v>
      </c>
      <c r="P120" t="str">
        <v>Male</v>
      </c>
      <c r="Q120" t="str">
        <v>Engineering</v>
      </c>
      <c r="R120">
        <v>78443.78</v>
      </c>
      <c r="S120" t="str">
        <v>50k to 100k</v>
      </c>
      <c r="T120">
        <v>43599</v>
      </c>
      <c r="U120">
        <v>1</v>
      </c>
      <c r="V120" t="str">
        <v>Fixed Term</v>
      </c>
      <c r="W120" t="str">
        <v>Hyderabad, India</v>
      </c>
      <c r="X120">
        <v>5.1095890410958908</v>
      </c>
      <c r="Y120" t="str">
        <v>Full time</v>
      </c>
    </row>
    <row r="121" spans="13:25" x14ac:dyDescent="0.25">
      <c r="M121" t="str">
        <v>PR02436</v>
      </c>
      <c r="N121" t="str">
        <v>Marmaduke</v>
      </c>
      <c r="O121" t="str">
        <v>Worssam</v>
      </c>
      <c r="P121" t="str">
        <v>Female</v>
      </c>
      <c r="Q121" t="str">
        <v>Engineering</v>
      </c>
      <c r="R121">
        <v>78378.2</v>
      </c>
      <c r="S121" t="str">
        <v>50k to 100k</v>
      </c>
      <c r="T121">
        <v>43465</v>
      </c>
      <c r="U121">
        <v>0.4</v>
      </c>
      <c r="V121" t="str">
        <v>Permanent</v>
      </c>
      <c r="W121" t="str">
        <v>Remote</v>
      </c>
      <c r="X121">
        <v>5.4767123287671229</v>
      </c>
      <c r="Y121" t="str">
        <v>Part time</v>
      </c>
    </row>
    <row r="122" spans="13:25" x14ac:dyDescent="0.25">
      <c r="M122" t="str">
        <v>SQ03625</v>
      </c>
      <c r="N122" t="str">
        <v>Fidela</v>
      </c>
      <c r="O122" t="str">
        <v>Artis</v>
      </c>
      <c r="P122" t="str">
        <v>Female</v>
      </c>
      <c r="Q122" t="str">
        <v>Sales</v>
      </c>
      <c r="R122">
        <v>78020.39</v>
      </c>
      <c r="S122" t="str">
        <v>50k to 100k</v>
      </c>
      <c r="T122">
        <v>43899</v>
      </c>
      <c r="U122">
        <v>1</v>
      </c>
      <c r="V122" t="str">
        <v>Permanent</v>
      </c>
      <c r="W122" t="str">
        <v>Remote</v>
      </c>
      <c r="X122">
        <v>4.2876712328767121</v>
      </c>
      <c r="Y122" t="str">
        <v>Full time</v>
      </c>
    </row>
    <row r="123" spans="13:25" x14ac:dyDescent="0.25">
      <c r="M123" t="str">
        <v>SQ03112</v>
      </c>
      <c r="N123" t="str">
        <v>Kantimoy</v>
      </c>
      <c r="O123" t="str">
        <v>Pritish</v>
      </c>
      <c r="P123" t="str">
        <v>Male</v>
      </c>
      <c r="Q123" t="str">
        <v>Product Management</v>
      </c>
      <c r="R123">
        <v>77743.149999999994</v>
      </c>
      <c r="S123" t="str">
        <v>50k to 100k</v>
      </c>
      <c r="T123">
        <v>43920</v>
      </c>
      <c r="U123">
        <v>1</v>
      </c>
      <c r="V123" t="str">
        <v>Permanent</v>
      </c>
      <c r="W123" t="str">
        <v>Chennai, India</v>
      </c>
      <c r="X123">
        <v>4.2301369863013702</v>
      </c>
      <c r="Y123" t="str">
        <v>Full time</v>
      </c>
    </row>
    <row r="124" spans="13:25" x14ac:dyDescent="0.25">
      <c r="M124" t="str">
        <v>PR01476</v>
      </c>
      <c r="N124" t="str">
        <v>Jaishree</v>
      </c>
      <c r="O124" t="str">
        <v>Atasi</v>
      </c>
      <c r="P124" t="str">
        <v>Male</v>
      </c>
      <c r="Q124" t="str">
        <v>Services</v>
      </c>
      <c r="R124">
        <v>77096.05</v>
      </c>
      <c r="S124" t="str">
        <v>50k to 100k</v>
      </c>
      <c r="T124">
        <v>43217</v>
      </c>
      <c r="U124">
        <v>1</v>
      </c>
      <c r="V124" t="str">
        <v>Permanent</v>
      </c>
      <c r="W124" t="str">
        <v>Chennai, India</v>
      </c>
      <c r="X124">
        <v>6.1561643835616442</v>
      </c>
      <c r="Y124" t="str">
        <v>Full time</v>
      </c>
    </row>
    <row r="125" spans="13:25" x14ac:dyDescent="0.25">
      <c r="M125" t="str">
        <v>PR04851</v>
      </c>
      <c r="N125" t="str">
        <v>Rodina</v>
      </c>
      <c r="O125" t="str">
        <v>Drinan</v>
      </c>
      <c r="P125" t="str">
        <v>Female</v>
      </c>
      <c r="Q125" t="str">
        <v>Sales</v>
      </c>
      <c r="R125">
        <v>77045.440000000002</v>
      </c>
      <c r="S125" t="str">
        <v>50k to 100k</v>
      </c>
      <c r="T125">
        <v>43636</v>
      </c>
      <c r="U125">
        <v>1</v>
      </c>
      <c r="V125" t="str">
        <v>Permanent</v>
      </c>
      <c r="W125" t="str">
        <v>Remote</v>
      </c>
      <c r="X125">
        <v>5.0082191780821921</v>
      </c>
      <c r="Y125" t="str">
        <v>Full time</v>
      </c>
    </row>
    <row r="126" spans="13:25" x14ac:dyDescent="0.25">
      <c r="M126" t="str">
        <v>SQ04488</v>
      </c>
      <c r="N126" t="str">
        <v>Ramnath</v>
      </c>
      <c r="O126" t="str">
        <v>Ravuri</v>
      </c>
      <c r="P126" t="str">
        <v>Male</v>
      </c>
      <c r="Q126" t="str">
        <v>Marketing</v>
      </c>
      <c r="R126">
        <v>76932.600000000006</v>
      </c>
      <c r="S126" t="str">
        <v>50k to 100k</v>
      </c>
      <c r="T126">
        <v>43493</v>
      </c>
      <c r="U126">
        <v>1</v>
      </c>
      <c r="V126" t="str">
        <v>Permanent</v>
      </c>
      <c r="W126" t="str">
        <v>Hyderabad, India</v>
      </c>
      <c r="X126">
        <v>5.4</v>
      </c>
      <c r="Y126" t="str">
        <v>Full time</v>
      </c>
    </row>
    <row r="127" spans="13:25" x14ac:dyDescent="0.25">
      <c r="M127" t="str">
        <v>VT04627</v>
      </c>
      <c r="N127" t="str">
        <v>Yvette</v>
      </c>
      <c r="O127" t="str">
        <v>Bett</v>
      </c>
      <c r="P127" t="str">
        <v>Male</v>
      </c>
      <c r="Q127" t="str">
        <v>Human Resources</v>
      </c>
      <c r="R127">
        <v>76320.44</v>
      </c>
      <c r="S127" t="str">
        <v>50k to 100k</v>
      </c>
      <c r="T127">
        <v>44383</v>
      </c>
      <c r="U127">
        <v>0.8</v>
      </c>
      <c r="V127" t="str">
        <v>Temporary</v>
      </c>
      <c r="W127" t="str">
        <v>Remote</v>
      </c>
      <c r="X127">
        <v>2.9616438356164383</v>
      </c>
      <c r="Y127" t="str">
        <v>Part time</v>
      </c>
    </row>
    <row r="128" spans="13:25" x14ac:dyDescent="0.25">
      <c r="M128" t="str">
        <v>VT01610</v>
      </c>
      <c r="N128" t="str">
        <v>Dhruv</v>
      </c>
      <c r="O128" t="str">
        <v>Manjunath</v>
      </c>
      <c r="P128" t="str">
        <v>Female</v>
      </c>
      <c r="Q128" t="str">
        <v>Accounting</v>
      </c>
      <c r="R128">
        <v>76303.820000000007</v>
      </c>
      <c r="S128" t="str">
        <v>50k to 100k</v>
      </c>
      <c r="T128">
        <v>43458</v>
      </c>
      <c r="U128">
        <v>1</v>
      </c>
      <c r="V128" t="str">
        <v>Fixed Term</v>
      </c>
      <c r="W128" t="str">
        <v>Hyderabad, India</v>
      </c>
      <c r="X128">
        <v>5.4958904109589044</v>
      </c>
      <c r="Y128" t="str">
        <v>Full time</v>
      </c>
    </row>
    <row r="129" spans="13:25" x14ac:dyDescent="0.25">
      <c r="M129" t="str">
        <v>VT01610</v>
      </c>
      <c r="N129" t="str">
        <v>Kunja</v>
      </c>
      <c r="O129" t="str">
        <v>Prashanta</v>
      </c>
      <c r="P129" t="str">
        <v>Female</v>
      </c>
      <c r="Q129" t="str">
        <v>Accounting</v>
      </c>
      <c r="R129">
        <v>76303.820000000007</v>
      </c>
      <c r="S129" t="str">
        <v>50k to 100k</v>
      </c>
      <c r="T129">
        <v>43458</v>
      </c>
      <c r="U129">
        <v>1</v>
      </c>
      <c r="V129" t="str">
        <v>Fixed Term</v>
      </c>
      <c r="W129" t="str">
        <v>Hyderabad, India</v>
      </c>
      <c r="X129">
        <v>5.4958904109589044</v>
      </c>
      <c r="Y129" t="str">
        <v>Full time</v>
      </c>
    </row>
    <row r="130" spans="13:25" x14ac:dyDescent="0.25">
      <c r="M130" t="str">
        <v>PR02113</v>
      </c>
      <c r="N130" t="str">
        <v>Beverie</v>
      </c>
      <c r="O130" t="str">
        <v>Moffet</v>
      </c>
      <c r="P130" t="str">
        <v>Female</v>
      </c>
      <c r="Q130" t="str">
        <v>Support</v>
      </c>
      <c r="R130">
        <v>75974.990000000005</v>
      </c>
      <c r="S130" t="str">
        <v>50k to 100k</v>
      </c>
      <c r="T130">
        <v>44172</v>
      </c>
      <c r="U130">
        <v>1</v>
      </c>
      <c r="V130" t="str">
        <v>Permanent</v>
      </c>
      <c r="W130" t="str">
        <v>Remote</v>
      </c>
      <c r="X130">
        <v>3.5397260273972604</v>
      </c>
      <c r="Y130" t="str">
        <v>Full time</v>
      </c>
    </row>
    <row r="131" spans="13:25" x14ac:dyDescent="0.25">
      <c r="M131" t="str">
        <v>SQ03546</v>
      </c>
      <c r="N131" t="str">
        <v>Amlankusum</v>
      </c>
      <c r="O131" t="str">
        <v>Rajabhushan</v>
      </c>
      <c r="P131" t="str">
        <v>Female</v>
      </c>
      <c r="Q131" t="str">
        <v>Legal</v>
      </c>
      <c r="R131">
        <v>75733.740000000005</v>
      </c>
      <c r="S131" t="str">
        <v>50k to 100k</v>
      </c>
      <c r="T131">
        <v>44382</v>
      </c>
      <c r="U131">
        <v>1</v>
      </c>
      <c r="V131" t="str">
        <v>Permanent</v>
      </c>
      <c r="W131" t="str">
        <v>Hyderabad, India</v>
      </c>
      <c r="X131">
        <v>2.9643835616438357</v>
      </c>
      <c r="Y131" t="str">
        <v>Full time</v>
      </c>
    </row>
    <row r="132" spans="13:25" x14ac:dyDescent="0.25">
      <c r="M132" t="str">
        <v>TN00182</v>
      </c>
      <c r="N132" t="str">
        <v>Camilla</v>
      </c>
      <c r="O132" t="str">
        <v>Castle</v>
      </c>
      <c r="P132" t="str">
        <v>Female</v>
      </c>
      <c r="Q132" t="str">
        <v>Product Management</v>
      </c>
      <c r="R132">
        <v>75475.929999999993</v>
      </c>
      <c r="S132" t="str">
        <v>50k to 100k</v>
      </c>
      <c r="T132">
        <v>43794</v>
      </c>
      <c r="U132">
        <v>1</v>
      </c>
      <c r="V132" t="str">
        <v>Permanent</v>
      </c>
      <c r="W132" t="str">
        <v>Remote</v>
      </c>
      <c r="X132">
        <v>4.5753424657534243</v>
      </c>
      <c r="Y132" t="str">
        <v>Full time</v>
      </c>
    </row>
    <row r="133" spans="13:25" x14ac:dyDescent="0.25">
      <c r="M133" t="str">
        <v>SQ01026</v>
      </c>
      <c r="N133" t="str">
        <v>Anumati</v>
      </c>
      <c r="O133" t="str">
        <v>Shyamari</v>
      </c>
      <c r="P133" t="str">
        <v>Male</v>
      </c>
      <c r="Q133" t="str">
        <v>Product Management</v>
      </c>
      <c r="R133">
        <v>74924.649999999994</v>
      </c>
      <c r="S133" t="str">
        <v>50k to 100k</v>
      </c>
      <c r="T133">
        <v>44239</v>
      </c>
      <c r="U133">
        <v>1</v>
      </c>
      <c r="V133" t="str">
        <v>Permanent</v>
      </c>
      <c r="W133" t="str">
        <v>Hyderabad, India</v>
      </c>
      <c r="X133">
        <v>3.3561643835616439</v>
      </c>
      <c r="Y133" t="str">
        <v>Full time</v>
      </c>
    </row>
    <row r="134" spans="13:25" x14ac:dyDescent="0.25">
      <c r="M134" t="str">
        <v>SQ00612</v>
      </c>
      <c r="N134" t="str">
        <v>Leena</v>
      </c>
      <c r="O134" t="str">
        <v>Bruckshaw</v>
      </c>
      <c r="P134" t="str">
        <v>Male</v>
      </c>
      <c r="Q134" t="str">
        <v>Research and Development</v>
      </c>
      <c r="R134">
        <v>74279.009999999995</v>
      </c>
      <c r="S134" t="str">
        <v>50k to 100k</v>
      </c>
      <c r="T134">
        <v>43466</v>
      </c>
      <c r="U134">
        <v>1</v>
      </c>
      <c r="V134" t="str">
        <v>Permanent</v>
      </c>
      <c r="W134" t="str">
        <v>Wellington, New Zealand</v>
      </c>
      <c r="X134">
        <v>5.4739726027397264</v>
      </c>
      <c r="Y134" t="str">
        <v>Full time</v>
      </c>
    </row>
    <row r="135" spans="13:25" x14ac:dyDescent="0.25">
      <c r="M135" t="str">
        <v>TN04067</v>
      </c>
      <c r="N135" t="str">
        <v>Lea</v>
      </c>
      <c r="O135" t="str">
        <v>Chaplin</v>
      </c>
      <c r="P135" t="str">
        <v>Female</v>
      </c>
      <c r="Q135" t="str">
        <v>Human Resources</v>
      </c>
      <c r="R135">
        <v>73488.679999999993</v>
      </c>
      <c r="S135" t="str">
        <v>50k to 100k</v>
      </c>
      <c r="T135">
        <v>43570</v>
      </c>
      <c r="U135">
        <v>1</v>
      </c>
      <c r="V135" t="str">
        <v>Fixed Term</v>
      </c>
      <c r="W135" t="str">
        <v>Seattle, USA</v>
      </c>
      <c r="X135">
        <v>5.1890410958904107</v>
      </c>
      <c r="Y135" t="str">
        <v>Full time</v>
      </c>
    </row>
    <row r="136" spans="13:25" x14ac:dyDescent="0.25">
      <c r="M136" t="str">
        <v>VT03537</v>
      </c>
      <c r="N136" t="str">
        <v>Renaldo</v>
      </c>
      <c r="O136" t="str">
        <v>Thomassin</v>
      </c>
      <c r="P136" t="str">
        <v>Male</v>
      </c>
      <c r="Q136" t="str">
        <v>Business Development</v>
      </c>
      <c r="R136">
        <v>73360.38</v>
      </c>
      <c r="S136" t="str">
        <v>50k to 100k</v>
      </c>
      <c r="T136">
        <v>43972</v>
      </c>
      <c r="U136">
        <v>1</v>
      </c>
      <c r="V136" t="str">
        <v>Temporary</v>
      </c>
      <c r="W136" t="str">
        <v>Remote</v>
      </c>
      <c r="X136">
        <v>4.087671232876712</v>
      </c>
      <c r="Y136" t="str">
        <v>Full time</v>
      </c>
    </row>
    <row r="137" spans="13:25" x14ac:dyDescent="0.25">
      <c r="M137" t="str">
        <v>VT03537</v>
      </c>
      <c r="N137" t="str">
        <v>Renaldo</v>
      </c>
      <c r="O137" t="str">
        <v>Thomassin</v>
      </c>
      <c r="P137" t="str">
        <v>Male</v>
      </c>
      <c r="Q137" t="str">
        <v>Business Development</v>
      </c>
      <c r="R137">
        <v>73360.38</v>
      </c>
      <c r="S137" t="str">
        <v>50k to 100k</v>
      </c>
      <c r="T137">
        <v>43972</v>
      </c>
      <c r="U137">
        <v>1</v>
      </c>
      <c r="V137" t="str">
        <v>Temporary</v>
      </c>
      <c r="W137" t="str">
        <v>Remote</v>
      </c>
      <c r="X137">
        <v>4.087671232876712</v>
      </c>
      <c r="Y137" t="str">
        <v>Full time</v>
      </c>
    </row>
    <row r="138" spans="13:25" x14ac:dyDescent="0.25">
      <c r="M138" t="str">
        <v>PR03532</v>
      </c>
      <c r="N138" t="str">
        <v>Crawford</v>
      </c>
      <c r="O138" t="str">
        <v>Scad</v>
      </c>
      <c r="P138" t="str">
        <v>Male</v>
      </c>
      <c r="Q138" t="str">
        <v>Human Resources</v>
      </c>
      <c r="R138">
        <v>72876.91</v>
      </c>
      <c r="S138" t="str">
        <v>50k to 100k</v>
      </c>
      <c r="T138">
        <v>43837</v>
      </c>
      <c r="U138">
        <v>1</v>
      </c>
      <c r="V138" t="str">
        <v>Permanent</v>
      </c>
      <c r="W138" t="str">
        <v>Remote</v>
      </c>
      <c r="X138">
        <v>4.4575342465753423</v>
      </c>
      <c r="Y138" t="str">
        <v>Full time</v>
      </c>
    </row>
    <row r="139" spans="13:25" x14ac:dyDescent="0.25">
      <c r="M139" t="str">
        <v>TN03331</v>
      </c>
      <c r="N139" t="str">
        <v>Crawford</v>
      </c>
      <c r="O139" t="str">
        <v>Scad</v>
      </c>
      <c r="P139" t="str">
        <v>Male</v>
      </c>
      <c r="Q139" t="str">
        <v>Human Resources</v>
      </c>
      <c r="R139">
        <v>72876.91</v>
      </c>
      <c r="S139" t="str">
        <v>50k to 100k</v>
      </c>
      <c r="T139">
        <v>43612</v>
      </c>
      <c r="U139">
        <v>0.4</v>
      </c>
      <c r="V139" t="str">
        <v>Fixed Term</v>
      </c>
      <c r="W139" t="str">
        <v>Auckland, New Zealand</v>
      </c>
      <c r="X139">
        <v>5.0739726027397261</v>
      </c>
      <c r="Y139" t="str">
        <v>Part time</v>
      </c>
    </row>
    <row r="140" spans="13:25" x14ac:dyDescent="0.25">
      <c r="M140" t="str">
        <v>TN04101</v>
      </c>
      <c r="N140" t="str">
        <v>Marline</v>
      </c>
      <c r="O140" t="str">
        <v>Wahncke</v>
      </c>
      <c r="P140" t="str">
        <v>Male</v>
      </c>
      <c r="Q140" t="str">
        <v>Legal</v>
      </c>
      <c r="R140">
        <v>72843.23</v>
      </c>
      <c r="S140" t="str">
        <v>50k to 100k</v>
      </c>
      <c r="T140">
        <v>43280</v>
      </c>
      <c r="U140">
        <v>1</v>
      </c>
      <c r="V140" t="str">
        <v>Fixed Term</v>
      </c>
      <c r="W140" t="str">
        <v>Wellington, New Zealand</v>
      </c>
      <c r="X140">
        <v>5.9835616438356167</v>
      </c>
      <c r="Y140" t="str">
        <v>Full time</v>
      </c>
    </row>
    <row r="141" spans="13:25" x14ac:dyDescent="0.25">
      <c r="M141" t="str">
        <v>PR01383</v>
      </c>
      <c r="N141" t="str">
        <v>Addi</v>
      </c>
      <c r="O141" t="str">
        <v>Studdeard</v>
      </c>
      <c r="P141" t="str">
        <v>Female</v>
      </c>
      <c r="Q141" t="str">
        <v>Product Management</v>
      </c>
      <c r="R141">
        <v>72502.61</v>
      </c>
      <c r="S141" t="str">
        <v>50k to 100k</v>
      </c>
      <c r="T141">
        <v>44235</v>
      </c>
      <c r="U141">
        <v>1</v>
      </c>
      <c r="V141" t="str">
        <v>Permanent</v>
      </c>
      <c r="W141" t="str">
        <v>Wellington, New Zealand</v>
      </c>
      <c r="X141">
        <v>3.3671232876712329</v>
      </c>
      <c r="Y141" t="str">
        <v>Full time</v>
      </c>
    </row>
    <row r="142" spans="13:25" x14ac:dyDescent="0.25">
      <c r="M142" t="str">
        <v>SQ04960</v>
      </c>
      <c r="N142" t="str">
        <v>Shubhra</v>
      </c>
      <c r="O142" t="str">
        <v>Potla</v>
      </c>
      <c r="P142" t="str">
        <v>Female</v>
      </c>
      <c r="Q142" t="str">
        <v>Support</v>
      </c>
      <c r="R142">
        <v>71924.850000000006</v>
      </c>
      <c r="S142" t="str">
        <v>50k to 100k</v>
      </c>
      <c r="T142">
        <v>43822</v>
      </c>
      <c r="U142">
        <v>1</v>
      </c>
      <c r="V142" t="str">
        <v>Permanent</v>
      </c>
      <c r="W142" t="str">
        <v>Chennai, India</v>
      </c>
      <c r="X142">
        <v>4.4986301369863018</v>
      </c>
      <c r="Y142" t="str">
        <v>Full time</v>
      </c>
    </row>
    <row r="143" spans="13:25" x14ac:dyDescent="0.25">
      <c r="M143" t="str">
        <v>VT02374</v>
      </c>
      <c r="N143" t="str">
        <v>Delphine</v>
      </c>
      <c r="O143" t="str">
        <v>Jewis</v>
      </c>
      <c r="P143" t="str">
        <v>Female</v>
      </c>
      <c r="Q143" t="str">
        <v>Accounting</v>
      </c>
      <c r="R143">
        <v>71823.56</v>
      </c>
      <c r="S143" t="str">
        <v>50k to 100k</v>
      </c>
      <c r="T143">
        <v>43374</v>
      </c>
      <c r="U143">
        <v>0.3</v>
      </c>
      <c r="V143" t="str">
        <v>Temporary</v>
      </c>
      <c r="W143" t="str">
        <v>Remote</v>
      </c>
      <c r="X143">
        <v>5.7260273972602738</v>
      </c>
      <c r="Y143" t="str">
        <v>Part time</v>
      </c>
    </row>
    <row r="144" spans="13:25" x14ac:dyDescent="0.25">
      <c r="M144" t="str">
        <v>VT02374</v>
      </c>
      <c r="N144" t="str">
        <v>Delphine</v>
      </c>
      <c r="O144" t="str">
        <v>Jewis</v>
      </c>
      <c r="P144" t="str">
        <v>Female</v>
      </c>
      <c r="Q144" t="str">
        <v>Accounting</v>
      </c>
      <c r="R144">
        <v>71823.56</v>
      </c>
      <c r="S144" t="str">
        <v>50k to 100k</v>
      </c>
      <c r="T144">
        <v>43374</v>
      </c>
      <c r="U144">
        <v>0.3</v>
      </c>
      <c r="V144" t="str">
        <v>Temporary</v>
      </c>
      <c r="W144" t="str">
        <v>Remote</v>
      </c>
      <c r="X144">
        <v>5.7260273972602738</v>
      </c>
      <c r="Y144" t="str">
        <v>Part time</v>
      </c>
    </row>
    <row r="145" spans="13:25" x14ac:dyDescent="0.25">
      <c r="M145" t="str">
        <v>TN00890</v>
      </c>
      <c r="N145" t="str">
        <v>Mayur</v>
      </c>
      <c r="O145" t="str">
        <v>Kousika</v>
      </c>
      <c r="P145" t="str">
        <v>Female</v>
      </c>
      <c r="Q145" t="str">
        <v>Training</v>
      </c>
      <c r="R145">
        <v>71570.990000000005</v>
      </c>
      <c r="S145" t="str">
        <v>50k to 100k</v>
      </c>
      <c r="T145">
        <v>44249</v>
      </c>
      <c r="U145">
        <v>0.5</v>
      </c>
      <c r="V145" t="str">
        <v>Permanent</v>
      </c>
      <c r="W145" t="str">
        <v>Hyderabad, India</v>
      </c>
      <c r="X145">
        <v>3.3287671232876712</v>
      </c>
      <c r="Y145" t="str">
        <v>Part time</v>
      </c>
    </row>
    <row r="146" spans="13:25" x14ac:dyDescent="0.25">
      <c r="M146" t="str">
        <v>SQ01697</v>
      </c>
      <c r="N146" t="str">
        <v>Makshi</v>
      </c>
      <c r="O146" t="str">
        <v>Vinutha</v>
      </c>
      <c r="P146" t="str">
        <v>Male</v>
      </c>
      <c r="Q146" t="str">
        <v>Business Development</v>
      </c>
      <c r="R146">
        <v>71371.37</v>
      </c>
      <c r="S146" t="str">
        <v>50k to 100k</v>
      </c>
      <c r="T146">
        <v>43392</v>
      </c>
      <c r="U146">
        <v>1</v>
      </c>
      <c r="V146" t="str">
        <v>Permanent</v>
      </c>
      <c r="W146" t="str">
        <v>Hyderabad, India</v>
      </c>
      <c r="X146">
        <v>5.6767123287671231</v>
      </c>
      <c r="Y146" t="str">
        <v>Full time</v>
      </c>
    </row>
    <row r="147" spans="13:25" x14ac:dyDescent="0.25">
      <c r="M147" t="str">
        <v>SQ00187</v>
      </c>
      <c r="N147" t="str">
        <v>Rupak</v>
      </c>
      <c r="O147" t="str">
        <v>Mehra</v>
      </c>
      <c r="P147" t="str">
        <v>Female</v>
      </c>
      <c r="Q147" t="str">
        <v>Services</v>
      </c>
      <c r="R147">
        <v>71229.42</v>
      </c>
      <c r="S147" t="str">
        <v>50k to 100k</v>
      </c>
      <c r="T147">
        <v>44166</v>
      </c>
      <c r="U147">
        <v>1</v>
      </c>
      <c r="V147" t="str">
        <v>Permanent</v>
      </c>
      <c r="W147" t="str">
        <v>Hyderabad, India</v>
      </c>
      <c r="X147">
        <v>3.5561643835616437</v>
      </c>
      <c r="Y147" t="str">
        <v>Full time</v>
      </c>
    </row>
    <row r="148" spans="13:25" x14ac:dyDescent="0.25">
      <c r="M148" t="str">
        <v>VT04467</v>
      </c>
      <c r="N148" t="str">
        <v>Amal</v>
      </c>
      <c r="O148" t="str">
        <v>Nimesh</v>
      </c>
      <c r="P148" t="str">
        <v>Female</v>
      </c>
      <c r="Q148" t="str">
        <v>Marketing</v>
      </c>
      <c r="R148">
        <v>70755.5</v>
      </c>
      <c r="S148" t="str">
        <v>50k to 100k</v>
      </c>
      <c r="T148">
        <v>44090</v>
      </c>
      <c r="U148">
        <v>0.8</v>
      </c>
      <c r="V148" t="str">
        <v>Temporary</v>
      </c>
      <c r="W148" t="str">
        <v>Hyderabad, India</v>
      </c>
      <c r="X148">
        <v>3.7643835616438355</v>
      </c>
      <c r="Y148" t="str">
        <v>Part time</v>
      </c>
    </row>
    <row r="149" spans="13:25" x14ac:dyDescent="0.25">
      <c r="M149" t="str">
        <v>PR00095</v>
      </c>
      <c r="N149" t="str">
        <v>Devrat</v>
      </c>
      <c r="O149" t="str">
        <v>Damarsingh</v>
      </c>
      <c r="P149" t="str">
        <v>Female</v>
      </c>
      <c r="Q149" t="str">
        <v>Business Development</v>
      </c>
      <c r="R149">
        <v>70649.460000000006</v>
      </c>
      <c r="S149" t="str">
        <v>50k to 100k</v>
      </c>
      <c r="T149">
        <v>43843</v>
      </c>
      <c r="U149">
        <v>1</v>
      </c>
      <c r="V149" t="str">
        <v>Permanent</v>
      </c>
      <c r="W149" t="str">
        <v>Hyderabad, India</v>
      </c>
      <c r="X149">
        <v>4.441095890410959</v>
      </c>
      <c r="Y149" t="str">
        <v>Full time</v>
      </c>
    </row>
    <row r="150" spans="13:25" x14ac:dyDescent="0.25">
      <c r="M150" t="str">
        <v>SQ04598</v>
      </c>
      <c r="N150" t="str">
        <v>Pearla</v>
      </c>
      <c r="O150" t="str">
        <v>Beteriss</v>
      </c>
      <c r="P150" t="str">
        <v>Male</v>
      </c>
      <c r="Q150" t="str">
        <v>Services</v>
      </c>
      <c r="R150">
        <v>69913.39</v>
      </c>
      <c r="S150" t="str">
        <v>50k to 100k</v>
      </c>
      <c r="T150">
        <v>43584</v>
      </c>
      <c r="U150">
        <v>1</v>
      </c>
      <c r="V150" t="str">
        <v>Permanent</v>
      </c>
      <c r="W150" t="str">
        <v>Remote</v>
      </c>
      <c r="X150">
        <v>5.1506849315068495</v>
      </c>
      <c r="Y150" t="str">
        <v>Full time</v>
      </c>
    </row>
    <row r="151" spans="13:25" x14ac:dyDescent="0.25">
      <c r="M151" t="str">
        <v>SQ02371</v>
      </c>
      <c r="N151" t="str">
        <v>Alida</v>
      </c>
      <c r="O151" t="str">
        <v>Welman</v>
      </c>
      <c r="P151" t="str">
        <v>Male</v>
      </c>
      <c r="Q151" t="str">
        <v>Human Resources</v>
      </c>
      <c r="R151">
        <v>69862.38</v>
      </c>
      <c r="S151" t="str">
        <v>50k to 100k</v>
      </c>
      <c r="T151">
        <v>43458</v>
      </c>
      <c r="U151">
        <v>1</v>
      </c>
      <c r="V151" t="str">
        <v>Permanent</v>
      </c>
      <c r="W151" t="str">
        <v>Wellington, New Zealand</v>
      </c>
      <c r="X151">
        <v>5.4958904109589044</v>
      </c>
      <c r="Y151" t="str">
        <v>Full time</v>
      </c>
    </row>
    <row r="152" spans="13:25" x14ac:dyDescent="0.25">
      <c r="M152" t="str">
        <v>TN04660</v>
      </c>
      <c r="N152" t="str">
        <v>Thedrick</v>
      </c>
      <c r="O152" t="str">
        <v>Bothwell</v>
      </c>
      <c r="P152" t="str">
        <v>Male</v>
      </c>
      <c r="Q152" t="str">
        <v>Business Development</v>
      </c>
      <c r="R152">
        <v>69764.100000000006</v>
      </c>
      <c r="S152" t="str">
        <v>50k to 100k</v>
      </c>
      <c r="T152">
        <v>44195</v>
      </c>
      <c r="U152">
        <v>1</v>
      </c>
      <c r="V152" t="str">
        <v>Fixed Term</v>
      </c>
      <c r="W152" t="str">
        <v>Seattle, USA</v>
      </c>
      <c r="X152">
        <v>3.4767123287671233</v>
      </c>
      <c r="Y152" t="str">
        <v>Full time</v>
      </c>
    </row>
    <row r="153" spans="13:25" x14ac:dyDescent="0.25">
      <c r="M153" t="str">
        <v>TN02205</v>
      </c>
      <c r="N153" t="str">
        <v>Madhumati</v>
      </c>
      <c r="O153" t="str">
        <v>Gazala</v>
      </c>
      <c r="P153" t="str">
        <v>Male</v>
      </c>
      <c r="Q153" t="str">
        <v>Research and Development</v>
      </c>
      <c r="R153">
        <v>69709.509999999995</v>
      </c>
      <c r="S153" t="str">
        <v>50k to 100k</v>
      </c>
      <c r="T153">
        <v>43472</v>
      </c>
      <c r="U153">
        <v>1</v>
      </c>
      <c r="V153" t="str">
        <v>Permanent</v>
      </c>
      <c r="W153" t="str">
        <v>Hyderabad, India</v>
      </c>
      <c r="X153">
        <v>5.4575342465753423</v>
      </c>
      <c r="Y153" t="str">
        <v>Full time</v>
      </c>
    </row>
    <row r="154" spans="13:25" x14ac:dyDescent="0.25">
      <c r="M154" t="str">
        <v>PR04473</v>
      </c>
      <c r="N154" t="str">
        <v>Wyn</v>
      </c>
      <c r="O154" t="str">
        <v>Treadger</v>
      </c>
      <c r="P154" t="str">
        <v>Female</v>
      </c>
      <c r="Q154" t="str">
        <v>Business Development</v>
      </c>
      <c r="R154">
        <v>69192.850000000006</v>
      </c>
      <c r="S154" t="str">
        <v>50k to 100k</v>
      </c>
      <c r="T154">
        <v>44305</v>
      </c>
      <c r="U154">
        <v>1</v>
      </c>
      <c r="V154" t="str">
        <v>Permanent</v>
      </c>
      <c r="W154" t="str">
        <v>Columbus, USA</v>
      </c>
      <c r="X154">
        <v>3.1753424657534248</v>
      </c>
      <c r="Y154" t="str">
        <v>Full time</v>
      </c>
    </row>
    <row r="155" spans="13:25" x14ac:dyDescent="0.25">
      <c r="M155" t="str">
        <v>TN02570</v>
      </c>
      <c r="N155" t="str">
        <v>Grady</v>
      </c>
      <c r="O155" t="str">
        <v>Rochelle</v>
      </c>
      <c r="P155" t="str">
        <v>Female</v>
      </c>
      <c r="Q155" t="str">
        <v>Accounting</v>
      </c>
      <c r="R155">
        <v>69163.39</v>
      </c>
      <c r="S155" t="str">
        <v>50k to 100k</v>
      </c>
      <c r="T155">
        <v>43397</v>
      </c>
      <c r="U155">
        <v>1</v>
      </c>
      <c r="V155" t="str">
        <v>Permanent</v>
      </c>
      <c r="W155" t="str">
        <v>Remote</v>
      </c>
      <c r="X155">
        <v>5.6630136986301371</v>
      </c>
      <c r="Y155" t="str">
        <v>Full time</v>
      </c>
    </row>
    <row r="156" spans="13:25" x14ac:dyDescent="0.25">
      <c r="M156" t="str">
        <v>TN02570</v>
      </c>
      <c r="N156" t="str">
        <v>Grady</v>
      </c>
      <c r="O156" t="str">
        <v>Rochelle</v>
      </c>
      <c r="P156" t="str">
        <v>Female</v>
      </c>
      <c r="Q156" t="str">
        <v>Accounting</v>
      </c>
      <c r="R156">
        <v>69163.39</v>
      </c>
      <c r="S156" t="str">
        <v>50k to 100k</v>
      </c>
      <c r="T156">
        <v>43397</v>
      </c>
      <c r="U156">
        <v>1</v>
      </c>
      <c r="V156" t="str">
        <v>Permanent</v>
      </c>
      <c r="W156" t="str">
        <v>Remote</v>
      </c>
      <c r="X156">
        <v>5.6630136986301371</v>
      </c>
      <c r="Y156" t="str">
        <v>Full time</v>
      </c>
    </row>
    <row r="157" spans="13:25" x14ac:dyDescent="0.25">
      <c r="M157" t="str">
        <v>SQ03024</v>
      </c>
      <c r="N157" t="str">
        <v>Inge</v>
      </c>
      <c r="O157" t="str">
        <v>Creer</v>
      </c>
      <c r="P157" t="str">
        <v>Female</v>
      </c>
      <c r="Q157" t="str">
        <v>Services</v>
      </c>
      <c r="R157">
        <v>69057.320000000007</v>
      </c>
      <c r="S157" t="str">
        <v>50k to 100k</v>
      </c>
      <c r="T157">
        <v>43390</v>
      </c>
      <c r="U157">
        <v>1</v>
      </c>
      <c r="V157" t="str">
        <v>Permanent</v>
      </c>
      <c r="W157" t="str">
        <v>Wellington, New Zealand</v>
      </c>
      <c r="X157">
        <v>5.6821917808219178</v>
      </c>
      <c r="Y157" t="str">
        <v>Full time</v>
      </c>
    </row>
    <row r="158" spans="13:25" x14ac:dyDescent="0.25">
      <c r="M158" t="str">
        <v>SQ03024</v>
      </c>
      <c r="N158" t="str">
        <v>Inge</v>
      </c>
      <c r="O158" t="str">
        <v>Creer</v>
      </c>
      <c r="P158" t="str">
        <v>Female</v>
      </c>
      <c r="Q158" t="str">
        <v>Services</v>
      </c>
      <c r="R158">
        <v>69057.320000000007</v>
      </c>
      <c r="S158" t="str">
        <v>50k to 100k</v>
      </c>
      <c r="T158">
        <v>43390</v>
      </c>
      <c r="U158">
        <v>1</v>
      </c>
      <c r="V158" t="str">
        <v>Permanent</v>
      </c>
      <c r="W158" t="str">
        <v>Wellington, New Zealand</v>
      </c>
      <c r="X158">
        <v>5.6821917808219178</v>
      </c>
      <c r="Y158" t="str">
        <v>Full time</v>
      </c>
    </row>
    <row r="159" spans="13:25" x14ac:dyDescent="0.25">
      <c r="M159" t="str">
        <v>PR00419</v>
      </c>
      <c r="N159" t="str">
        <v>Billi</v>
      </c>
      <c r="O159" t="str">
        <v>Fellgate</v>
      </c>
      <c r="P159" t="str">
        <v>Female</v>
      </c>
      <c r="Q159" t="str">
        <v>Business Development</v>
      </c>
      <c r="R159">
        <v>68980.52</v>
      </c>
      <c r="S159" t="str">
        <v>50k to 100k</v>
      </c>
      <c r="T159">
        <v>43494</v>
      </c>
      <c r="U159">
        <v>0.8</v>
      </c>
      <c r="V159" t="str">
        <v>Permanent</v>
      </c>
      <c r="W159" t="str">
        <v>Remote</v>
      </c>
      <c r="X159">
        <v>5.397260273972603</v>
      </c>
      <c r="Y159" t="str">
        <v>Part time</v>
      </c>
    </row>
    <row r="160" spans="13:25" x14ac:dyDescent="0.25">
      <c r="M160" t="str">
        <v>SQ03321</v>
      </c>
      <c r="N160" t="str">
        <v>Gradey</v>
      </c>
      <c r="O160" t="str">
        <v>Litton</v>
      </c>
      <c r="P160" t="str">
        <v>Female</v>
      </c>
      <c r="Q160" t="str">
        <v>Accounting</v>
      </c>
      <c r="R160">
        <v>68887.839999999997</v>
      </c>
      <c r="S160" t="str">
        <v>50k to 100k</v>
      </c>
      <c r="T160">
        <v>43297</v>
      </c>
      <c r="U160">
        <v>1</v>
      </c>
      <c r="V160" t="str">
        <v>Permanent</v>
      </c>
      <c r="W160" t="str">
        <v>Remote</v>
      </c>
      <c r="X160">
        <v>5.9369863013698634</v>
      </c>
      <c r="Y160" t="str">
        <v>Full time</v>
      </c>
    </row>
    <row r="161" spans="13:25" x14ac:dyDescent="0.25">
      <c r="M161" t="str">
        <v>SQ01637</v>
      </c>
      <c r="N161" t="str">
        <v>Joaquin</v>
      </c>
      <c r="O161" t="str">
        <v>McVitty</v>
      </c>
      <c r="P161" t="str">
        <v>Male</v>
      </c>
      <c r="Q161" t="str">
        <v>Sales</v>
      </c>
      <c r="R161">
        <v>68860.399999999994</v>
      </c>
      <c r="S161" t="str">
        <v>50k to 100k</v>
      </c>
      <c r="T161">
        <v>43508</v>
      </c>
      <c r="U161">
        <v>0.4</v>
      </c>
      <c r="V161" t="str">
        <v>Permanent</v>
      </c>
      <c r="W161" t="str">
        <v>Columbus, USA</v>
      </c>
      <c r="X161">
        <v>5.3589041095890408</v>
      </c>
      <c r="Y161" t="str">
        <v>Part time</v>
      </c>
    </row>
    <row r="162" spans="13:25" x14ac:dyDescent="0.25">
      <c r="M162" t="str">
        <v>TN01601</v>
      </c>
      <c r="N162" t="str">
        <v>Melva</v>
      </c>
      <c r="O162" t="str">
        <v>Jickells</v>
      </c>
      <c r="P162" t="str">
        <v>Female</v>
      </c>
      <c r="Q162" t="str">
        <v>Product Management</v>
      </c>
      <c r="R162">
        <v>68795.48</v>
      </c>
      <c r="S162" t="str">
        <v>50k to 100k</v>
      </c>
      <c r="T162">
        <v>44277</v>
      </c>
      <c r="U162">
        <v>0.2</v>
      </c>
      <c r="V162" t="str">
        <v>Permanent</v>
      </c>
      <c r="W162" t="str">
        <v>Remote</v>
      </c>
      <c r="X162">
        <v>3.2520547945205478</v>
      </c>
      <c r="Y162" t="str">
        <v>Part time</v>
      </c>
    </row>
    <row r="163" spans="13:25" x14ac:dyDescent="0.25">
      <c r="M163" t="str">
        <v>TN01601</v>
      </c>
      <c r="N163" t="str">
        <v>Melva</v>
      </c>
      <c r="O163" t="str">
        <v>Jickells</v>
      </c>
      <c r="P163" t="str">
        <v>Female</v>
      </c>
      <c r="Q163" t="str">
        <v>Product Management</v>
      </c>
      <c r="R163">
        <v>68795.48</v>
      </c>
      <c r="S163" t="str">
        <v>50k to 100k</v>
      </c>
      <c r="T163">
        <v>44277</v>
      </c>
      <c r="U163">
        <v>0.2</v>
      </c>
      <c r="V163" t="str">
        <v>Permanent</v>
      </c>
      <c r="W163" t="str">
        <v>Remote</v>
      </c>
      <c r="X163">
        <v>3.2520547945205478</v>
      </c>
      <c r="Y163" t="str">
        <v>Part time</v>
      </c>
    </row>
    <row r="164" spans="13:25" x14ac:dyDescent="0.25">
      <c r="M164" t="str">
        <v>TN00258</v>
      </c>
      <c r="N164" t="str">
        <v>Joyce</v>
      </c>
      <c r="O164" t="str">
        <v>Leyband</v>
      </c>
      <c r="P164" t="str">
        <v>Female</v>
      </c>
      <c r="Q164" t="str">
        <v>Product Management</v>
      </c>
      <c r="R164">
        <v>68197.899999999994</v>
      </c>
      <c r="S164" t="str">
        <v>50k to 100k</v>
      </c>
      <c r="T164">
        <v>44119</v>
      </c>
      <c r="U164">
        <v>1</v>
      </c>
      <c r="V164" t="str">
        <v>Permanent</v>
      </c>
      <c r="W164" t="str">
        <v>Auckland, New Zealand</v>
      </c>
      <c r="X164">
        <v>3.6849315068493151</v>
      </c>
      <c r="Y164" t="str">
        <v>Full time</v>
      </c>
    </row>
    <row r="165" spans="13:25" x14ac:dyDescent="0.25">
      <c r="M165" t="str">
        <v>SQ01283</v>
      </c>
      <c r="N165" t="str">
        <v>Barr</v>
      </c>
      <c r="O165" t="str">
        <v>Faughny</v>
      </c>
      <c r="P165" t="str">
        <v>Female</v>
      </c>
      <c r="Q165" t="str">
        <v>Marketing</v>
      </c>
      <c r="R165">
        <v>68008.55</v>
      </c>
      <c r="S165" t="str">
        <v>50k to 100k</v>
      </c>
      <c r="T165">
        <v>44062</v>
      </c>
      <c r="U165">
        <v>1</v>
      </c>
      <c r="V165" t="str">
        <v>Permanent</v>
      </c>
      <c r="W165" t="str">
        <v>Auckland, New Zealand</v>
      </c>
      <c r="X165">
        <v>3.8410958904109589</v>
      </c>
      <c r="Y165" t="str">
        <v>Full time</v>
      </c>
    </row>
    <row r="166" spans="13:25" x14ac:dyDescent="0.25">
      <c r="M166" t="str">
        <v>TN02496</v>
      </c>
      <c r="N166" t="str">
        <v>Ponnan</v>
      </c>
      <c r="O166" t="str">
        <v>Delhi</v>
      </c>
      <c r="P166" t="str">
        <v>Need to check</v>
      </c>
      <c r="Q166" t="str">
        <v>Human Resources</v>
      </c>
      <c r="R166">
        <v>67957.899999999994</v>
      </c>
      <c r="S166" t="str">
        <v>50k to 100k</v>
      </c>
      <c r="T166">
        <v>43430</v>
      </c>
      <c r="U166">
        <v>1</v>
      </c>
      <c r="V166" t="str">
        <v>Permanent</v>
      </c>
      <c r="W166" t="str">
        <v>Chennai, India</v>
      </c>
      <c r="X166">
        <v>5.5726027397260278</v>
      </c>
      <c r="Y166" t="str">
        <v>Full time</v>
      </c>
    </row>
    <row r="167" spans="13:25" x14ac:dyDescent="0.25">
      <c r="M167" t="str">
        <v>PR00246</v>
      </c>
      <c r="N167" t="str">
        <v>Husein</v>
      </c>
      <c r="O167" t="str">
        <v>Augar</v>
      </c>
      <c r="P167" t="str">
        <v>Female</v>
      </c>
      <c r="Q167" t="str">
        <v>Marketing</v>
      </c>
      <c r="R167">
        <v>67905.8</v>
      </c>
      <c r="S167" t="str">
        <v>50k to 100k</v>
      </c>
      <c r="T167">
        <v>44194</v>
      </c>
      <c r="U167">
        <v>1</v>
      </c>
      <c r="V167" t="str">
        <v>Permanent</v>
      </c>
      <c r="W167" t="str">
        <v>Remote</v>
      </c>
      <c r="X167">
        <v>3.4794520547945207</v>
      </c>
      <c r="Y167" t="str">
        <v>Full time</v>
      </c>
    </row>
    <row r="168" spans="13:25" x14ac:dyDescent="0.25">
      <c r="M168" t="str">
        <v>TN03169</v>
      </c>
      <c r="N168" t="str">
        <v>Doe</v>
      </c>
      <c r="O168" t="str">
        <v>Clubley</v>
      </c>
      <c r="P168" t="str">
        <v>Female</v>
      </c>
      <c r="Q168" t="str">
        <v>Product Management</v>
      </c>
      <c r="R168">
        <v>67818.14</v>
      </c>
      <c r="S168" t="str">
        <v>50k to 100k</v>
      </c>
      <c r="T168">
        <v>43406</v>
      </c>
      <c r="U168">
        <v>0.6</v>
      </c>
      <c r="V168" t="str">
        <v>Fixed Term</v>
      </c>
      <c r="W168" t="str">
        <v>Remote</v>
      </c>
      <c r="X168">
        <v>5.6383561643835618</v>
      </c>
      <c r="Y168" t="str">
        <v>Part time</v>
      </c>
    </row>
    <row r="169" spans="13:25" x14ac:dyDescent="0.25">
      <c r="M169" t="str">
        <v>TN03169</v>
      </c>
      <c r="N169" t="str">
        <v>Doe</v>
      </c>
      <c r="O169" t="str">
        <v>Clubley</v>
      </c>
      <c r="P169" t="str">
        <v>Female</v>
      </c>
      <c r="Q169" t="str">
        <v>Product Management</v>
      </c>
      <c r="R169">
        <v>67818.14</v>
      </c>
      <c r="S169" t="str">
        <v>50k to 100k</v>
      </c>
      <c r="T169">
        <v>43406</v>
      </c>
      <c r="U169">
        <v>0.6</v>
      </c>
      <c r="V169" t="str">
        <v>Fixed Term</v>
      </c>
      <c r="W169" t="str">
        <v>Remote</v>
      </c>
      <c r="X169">
        <v>5.6383561643835618</v>
      </c>
      <c r="Y169" t="str">
        <v>Part time</v>
      </c>
    </row>
    <row r="170" spans="13:25" x14ac:dyDescent="0.25">
      <c r="M170" t="str">
        <v>TN01028</v>
      </c>
      <c r="N170" t="str">
        <v>Alicea</v>
      </c>
      <c r="O170" t="str">
        <v>Pudsall</v>
      </c>
      <c r="P170" t="str">
        <v>Male</v>
      </c>
      <c r="Q170" t="str">
        <v>Accounting</v>
      </c>
      <c r="R170">
        <v>67633.850000000006</v>
      </c>
      <c r="S170" t="str">
        <v>50k to 100k</v>
      </c>
      <c r="T170">
        <v>43340</v>
      </c>
      <c r="U170">
        <v>1</v>
      </c>
      <c r="V170" t="str">
        <v>Permanent</v>
      </c>
      <c r="W170" t="str">
        <v>Columbus, USA</v>
      </c>
      <c r="X170">
        <v>5.8191780821917805</v>
      </c>
      <c r="Y170" t="str">
        <v>Full time</v>
      </c>
    </row>
    <row r="171" spans="13:25" x14ac:dyDescent="0.25">
      <c r="M171" t="str">
        <v>SQ03350</v>
      </c>
      <c r="N171" t="str">
        <v>Felice</v>
      </c>
      <c r="O171" t="str">
        <v>McMurty</v>
      </c>
      <c r="P171" t="str">
        <v>Female</v>
      </c>
      <c r="Q171" t="str">
        <v>Product Management</v>
      </c>
      <c r="R171">
        <v>66865.490000000005</v>
      </c>
      <c r="S171" t="str">
        <v>50k to 100k</v>
      </c>
      <c r="T171">
        <v>43514</v>
      </c>
      <c r="U171">
        <v>1</v>
      </c>
      <c r="V171" t="str">
        <v>Permanent</v>
      </c>
      <c r="W171" t="str">
        <v>Seattle, USA</v>
      </c>
      <c r="X171">
        <v>5.3424657534246576</v>
      </c>
      <c r="Y171" t="str">
        <v>Full time</v>
      </c>
    </row>
    <row r="172" spans="13:25" x14ac:dyDescent="0.25">
      <c r="M172" t="str">
        <v>SQ03350</v>
      </c>
      <c r="N172" t="str">
        <v>Felice</v>
      </c>
      <c r="O172" t="str">
        <v>McMurty</v>
      </c>
      <c r="P172" t="str">
        <v>Female</v>
      </c>
      <c r="Q172" t="str">
        <v>Product Management</v>
      </c>
      <c r="R172">
        <v>66865.490000000005</v>
      </c>
      <c r="S172" t="str">
        <v>50k to 100k</v>
      </c>
      <c r="T172">
        <v>43514</v>
      </c>
      <c r="U172">
        <v>1</v>
      </c>
      <c r="V172" t="str">
        <v>Permanent</v>
      </c>
      <c r="W172" t="str">
        <v>Seattle, USA</v>
      </c>
      <c r="X172">
        <v>5.3424657534246576</v>
      </c>
      <c r="Y172" t="str">
        <v>Full time</v>
      </c>
    </row>
    <row r="173" spans="13:25" x14ac:dyDescent="0.25">
      <c r="M173" t="str">
        <v>PR03804</v>
      </c>
      <c r="N173" t="str">
        <v>Pratigya</v>
      </c>
      <c r="O173" t="str">
        <v>Rema</v>
      </c>
      <c r="P173" t="str">
        <v>Male</v>
      </c>
      <c r="Q173" t="str">
        <v>Legal</v>
      </c>
      <c r="R173">
        <v>66572.58</v>
      </c>
      <c r="S173" t="str">
        <v>50k to 100k</v>
      </c>
      <c r="T173">
        <v>44193</v>
      </c>
      <c r="U173">
        <v>1</v>
      </c>
      <c r="V173" t="str">
        <v>Permanent</v>
      </c>
      <c r="W173" t="str">
        <v>Chennai, India</v>
      </c>
      <c r="X173">
        <v>3.4821917808219176</v>
      </c>
      <c r="Y173" t="str">
        <v>Full time</v>
      </c>
    </row>
    <row r="174" spans="13:25" x14ac:dyDescent="0.25">
      <c r="M174" t="str">
        <v>PR03804</v>
      </c>
      <c r="N174" t="str">
        <v>Sartaj</v>
      </c>
      <c r="O174" t="str">
        <v>Probal</v>
      </c>
      <c r="P174" t="str">
        <v>Male</v>
      </c>
      <c r="Q174" t="str">
        <v>Legal</v>
      </c>
      <c r="R174">
        <v>66572.58</v>
      </c>
      <c r="S174" t="str">
        <v>50k to 100k</v>
      </c>
      <c r="T174">
        <v>44193</v>
      </c>
      <c r="U174">
        <v>1</v>
      </c>
      <c r="V174" t="str">
        <v>Permanent</v>
      </c>
      <c r="W174" t="str">
        <v>Chennai, India</v>
      </c>
      <c r="X174">
        <v>3.4821917808219176</v>
      </c>
      <c r="Y174" t="str">
        <v>Full time</v>
      </c>
    </row>
    <row r="175" spans="13:25" x14ac:dyDescent="0.25">
      <c r="M175" t="str">
        <v>SQ01854</v>
      </c>
      <c r="N175" t="str">
        <v>Jessica</v>
      </c>
      <c r="O175" t="str">
        <v>Callcott</v>
      </c>
      <c r="P175" t="str">
        <v>Female</v>
      </c>
      <c r="Q175" t="str">
        <v>Marketing</v>
      </c>
      <c r="R175">
        <v>66017.179999999993</v>
      </c>
      <c r="S175" t="str">
        <v>50k to 100k</v>
      </c>
      <c r="T175">
        <v>43643</v>
      </c>
      <c r="U175">
        <v>0.9</v>
      </c>
      <c r="V175" t="str">
        <v>Permanent</v>
      </c>
      <c r="W175" t="str">
        <v>Remote</v>
      </c>
      <c r="X175">
        <v>4.9890410958904106</v>
      </c>
      <c r="Y175" t="str">
        <v>Part time</v>
      </c>
    </row>
    <row r="176" spans="13:25" x14ac:dyDescent="0.25">
      <c r="M176" t="str">
        <v>PR03980</v>
      </c>
      <c r="N176" t="str">
        <v>Kath</v>
      </c>
      <c r="O176" t="str">
        <v>Bletsoe</v>
      </c>
      <c r="P176" t="str">
        <v>Male</v>
      </c>
      <c r="Q176" t="str">
        <v>Marketing</v>
      </c>
      <c r="R176">
        <v>65699.02</v>
      </c>
      <c r="S176" t="str">
        <v>50k to 100k</v>
      </c>
      <c r="T176">
        <v>43951</v>
      </c>
      <c r="U176">
        <v>1</v>
      </c>
      <c r="V176" t="str">
        <v>Permanent</v>
      </c>
      <c r="W176" t="str">
        <v>Columbus, USA</v>
      </c>
      <c r="X176">
        <v>4.1452054794520548</v>
      </c>
      <c r="Y176" t="str">
        <v>Full time</v>
      </c>
    </row>
    <row r="177" spans="13:25" x14ac:dyDescent="0.25">
      <c r="M177" t="str">
        <v>VT01996</v>
      </c>
      <c r="N177" t="str">
        <v>Hali</v>
      </c>
      <c r="O177" t="str">
        <v>Behnecke</v>
      </c>
      <c r="P177" t="str">
        <v>Male</v>
      </c>
      <c r="Q177" t="str">
        <v>Human Resources</v>
      </c>
      <c r="R177">
        <v>65569.36</v>
      </c>
      <c r="S177" t="str">
        <v>50k to 100k</v>
      </c>
      <c r="T177">
        <v>43293</v>
      </c>
      <c r="U177">
        <v>1</v>
      </c>
      <c r="V177" t="str">
        <v>Fixed Term</v>
      </c>
      <c r="W177" t="str">
        <v>Auckland, New Zealand</v>
      </c>
      <c r="X177">
        <v>5.9479452054794519</v>
      </c>
      <c r="Y177" t="str">
        <v>Full time</v>
      </c>
    </row>
    <row r="178" spans="13:25" x14ac:dyDescent="0.25">
      <c r="M178" t="str">
        <v>PR00576</v>
      </c>
      <c r="N178" t="str">
        <v>Lalitchandra</v>
      </c>
      <c r="O178" t="str">
        <v>Vadali</v>
      </c>
      <c r="P178" t="str">
        <v>Female</v>
      </c>
      <c r="Q178" t="str">
        <v>Legal</v>
      </c>
      <c r="R178">
        <v>63705.4</v>
      </c>
      <c r="S178" t="str">
        <v>50k to 100k</v>
      </c>
      <c r="T178">
        <v>43682</v>
      </c>
      <c r="U178">
        <v>1</v>
      </c>
      <c r="V178" t="str">
        <v>Permanent</v>
      </c>
      <c r="W178" t="str">
        <v>Hyderabad, India</v>
      </c>
      <c r="X178">
        <v>4.882191780821918</v>
      </c>
      <c r="Y178" t="str">
        <v>Full time</v>
      </c>
    </row>
    <row r="179" spans="13:25" x14ac:dyDescent="0.25">
      <c r="M179" t="str">
        <v>TN00227</v>
      </c>
      <c r="N179" t="str">
        <v>Raghuveer</v>
      </c>
      <c r="O179" t="str">
        <v>Yettugunna</v>
      </c>
      <c r="P179" t="str">
        <v>Female</v>
      </c>
      <c r="Q179" t="str">
        <v>Support</v>
      </c>
      <c r="R179">
        <v>63555.73</v>
      </c>
      <c r="S179" t="str">
        <v>50k to 100k</v>
      </c>
      <c r="T179">
        <v>44159</v>
      </c>
      <c r="U179">
        <v>1</v>
      </c>
      <c r="V179" t="str">
        <v>Permanent</v>
      </c>
      <c r="W179" t="str">
        <v>Chennai, India</v>
      </c>
      <c r="X179">
        <v>3.5753424657534247</v>
      </c>
      <c r="Y179" t="str">
        <v>Full time</v>
      </c>
    </row>
    <row r="180" spans="13:25" x14ac:dyDescent="0.25">
      <c r="M180" t="str">
        <v>VT03704</v>
      </c>
      <c r="N180" t="str">
        <v>Egor</v>
      </c>
      <c r="O180" t="str">
        <v>Minto</v>
      </c>
      <c r="P180" t="str">
        <v>Need to check</v>
      </c>
      <c r="Q180" t="str">
        <v>Legal</v>
      </c>
      <c r="R180">
        <v>63447.07</v>
      </c>
      <c r="S180" t="str">
        <v>50k to 100k</v>
      </c>
      <c r="T180">
        <v>44148</v>
      </c>
      <c r="U180">
        <v>1</v>
      </c>
      <c r="V180" t="str">
        <v>Temporary</v>
      </c>
      <c r="W180" t="str">
        <v>Wellington, New Zealand</v>
      </c>
      <c r="X180">
        <v>3.6054794520547944</v>
      </c>
      <c r="Y180" t="str">
        <v>Full time</v>
      </c>
    </row>
    <row r="181" spans="13:25" x14ac:dyDescent="0.25">
      <c r="M181" t="str">
        <v>SQ00070</v>
      </c>
      <c r="N181" t="str">
        <v>Larissa</v>
      </c>
      <c r="O181" t="str">
        <v>Ingledow</v>
      </c>
      <c r="P181" t="str">
        <v>Male</v>
      </c>
      <c r="Q181" t="str">
        <v>Research and Development</v>
      </c>
      <c r="R181">
        <v>62281.24</v>
      </c>
      <c r="S181" t="str">
        <v>50k to 100k</v>
      </c>
      <c r="T181">
        <v>43272</v>
      </c>
      <c r="U181">
        <v>1</v>
      </c>
      <c r="V181" t="str">
        <v>Permanent</v>
      </c>
      <c r="W181" t="str">
        <v>Remote</v>
      </c>
      <c r="X181">
        <v>6.0054794520547947</v>
      </c>
      <c r="Y181" t="str">
        <v>Full time</v>
      </c>
    </row>
    <row r="182" spans="13:25" x14ac:dyDescent="0.25">
      <c r="M182" t="str">
        <v>PR03445</v>
      </c>
      <c r="N182" t="str">
        <v>Myrle</v>
      </c>
      <c r="O182" t="str">
        <v>Prandoni</v>
      </c>
      <c r="P182" t="str">
        <v>Male</v>
      </c>
      <c r="Q182" t="str">
        <v>Sales</v>
      </c>
      <c r="R182">
        <v>62195.47</v>
      </c>
      <c r="S182" t="str">
        <v>50k to 100k</v>
      </c>
      <c r="T182">
        <v>44434</v>
      </c>
      <c r="U182">
        <v>1</v>
      </c>
      <c r="V182" t="str">
        <v>Permanent</v>
      </c>
      <c r="W182" t="str">
        <v>Remote</v>
      </c>
      <c r="X182">
        <v>2.8219178082191783</v>
      </c>
      <c r="Y182" t="str">
        <v>Full time</v>
      </c>
    </row>
    <row r="183" spans="13:25" x14ac:dyDescent="0.25">
      <c r="M183" t="str">
        <v>PR02603</v>
      </c>
      <c r="N183" t="str">
        <v>Dinanath</v>
      </c>
      <c r="O183" t="str">
        <v>Simhambhatla</v>
      </c>
      <c r="P183" t="str">
        <v>Female</v>
      </c>
      <c r="Q183" t="str">
        <v>Human Resources</v>
      </c>
      <c r="R183">
        <v>61994.76</v>
      </c>
      <c r="S183" t="str">
        <v>50k to 100k</v>
      </c>
      <c r="T183">
        <v>43794</v>
      </c>
      <c r="U183">
        <v>0.3</v>
      </c>
      <c r="V183" t="str">
        <v>Permanent</v>
      </c>
      <c r="W183" t="str">
        <v>Hyderabad, India</v>
      </c>
      <c r="X183">
        <v>4.5753424657534243</v>
      </c>
      <c r="Y183" t="str">
        <v>Part time</v>
      </c>
    </row>
    <row r="184" spans="13:25" x14ac:dyDescent="0.25">
      <c r="M184" t="str">
        <v>TN00083</v>
      </c>
      <c r="N184" t="str">
        <v>Chandana</v>
      </c>
      <c r="O184" t="str">
        <v>Sannidhi</v>
      </c>
      <c r="P184" t="str">
        <v>Female</v>
      </c>
      <c r="Q184" t="str">
        <v>Business Development</v>
      </c>
      <c r="R184">
        <v>61688.77</v>
      </c>
      <c r="S184" t="str">
        <v>50k to 100k</v>
      </c>
      <c r="T184">
        <v>43346</v>
      </c>
      <c r="U184">
        <v>0.9</v>
      </c>
      <c r="V184" t="str">
        <v>Permanent</v>
      </c>
      <c r="W184" t="str">
        <v>Chennai, India</v>
      </c>
      <c r="X184">
        <v>5.8027397260273972</v>
      </c>
      <c r="Y184" t="str">
        <v>Part time</v>
      </c>
    </row>
    <row r="185" spans="13:25" x14ac:dyDescent="0.25">
      <c r="M185" t="str">
        <v>VT01703</v>
      </c>
      <c r="N185" t="str">
        <v>Upendra</v>
      </c>
      <c r="O185" t="str">
        <v>Swati</v>
      </c>
      <c r="P185" t="str">
        <v>Male</v>
      </c>
      <c r="Q185" t="str">
        <v>Engineering</v>
      </c>
      <c r="R185">
        <v>61624.77</v>
      </c>
      <c r="S185" t="str">
        <v>50k to 100k</v>
      </c>
      <c r="T185">
        <v>43430</v>
      </c>
      <c r="U185">
        <v>0.3</v>
      </c>
      <c r="V185" t="str">
        <v>Fixed Term</v>
      </c>
      <c r="W185" t="str">
        <v>Hyderabad, India</v>
      </c>
      <c r="X185">
        <v>5.5726027397260278</v>
      </c>
      <c r="Y185" t="str">
        <v>Part time</v>
      </c>
    </row>
    <row r="186" spans="13:25" x14ac:dyDescent="0.25">
      <c r="M186" t="str">
        <v>VT02417</v>
      </c>
      <c r="N186" t="str">
        <v>Evangelina</v>
      </c>
      <c r="O186" t="str">
        <v>Lergan</v>
      </c>
      <c r="P186" t="str">
        <v>Male</v>
      </c>
      <c r="Q186" t="str">
        <v>Support</v>
      </c>
      <c r="R186">
        <v>61214.26</v>
      </c>
      <c r="S186" t="str">
        <v>50k to 100k</v>
      </c>
      <c r="T186">
        <v>43171</v>
      </c>
      <c r="U186">
        <v>1</v>
      </c>
      <c r="V186" t="str">
        <v>Temporary</v>
      </c>
      <c r="W186" t="str">
        <v>Auckland, New Zealand</v>
      </c>
      <c r="X186">
        <v>6.2821917808219174</v>
      </c>
      <c r="Y186" t="str">
        <v>Full time</v>
      </c>
    </row>
    <row r="187" spans="13:25" x14ac:dyDescent="0.25">
      <c r="M187" t="str">
        <v>SQ00286</v>
      </c>
      <c r="N187" t="str">
        <v>Ilesh</v>
      </c>
      <c r="O187" t="str">
        <v>Dasgupta</v>
      </c>
      <c r="P187" t="str">
        <v>Female</v>
      </c>
      <c r="Q187" t="str">
        <v>Legal</v>
      </c>
      <c r="R187">
        <v>61213.01</v>
      </c>
      <c r="S187" t="str">
        <v>50k to 100k</v>
      </c>
      <c r="T187">
        <v>44365</v>
      </c>
      <c r="U187">
        <v>1</v>
      </c>
      <c r="V187" t="str">
        <v>Permanent</v>
      </c>
      <c r="W187" t="str">
        <v>Chennai, India</v>
      </c>
      <c r="X187">
        <v>3.010958904109589</v>
      </c>
      <c r="Y187" t="str">
        <v>Full time</v>
      </c>
    </row>
    <row r="188" spans="13:25" x14ac:dyDescent="0.25">
      <c r="M188" t="str">
        <v>VT02260</v>
      </c>
      <c r="N188" t="str">
        <v>Rhiamon</v>
      </c>
      <c r="O188" t="str">
        <v>Mollison</v>
      </c>
      <c r="P188" t="str">
        <v>Female</v>
      </c>
      <c r="Q188" t="str">
        <v>Research and Development</v>
      </c>
      <c r="R188">
        <v>59434.18</v>
      </c>
      <c r="S188" t="str">
        <v>50k to 100k</v>
      </c>
      <c r="T188">
        <v>43931</v>
      </c>
      <c r="U188">
        <v>1</v>
      </c>
      <c r="V188" t="str">
        <v>Temporary</v>
      </c>
      <c r="W188" t="str">
        <v>Seattle, USA</v>
      </c>
      <c r="X188">
        <v>4.2</v>
      </c>
      <c r="Y188" t="str">
        <v>Full time</v>
      </c>
    </row>
    <row r="189" spans="13:25" x14ac:dyDescent="0.25">
      <c r="M189" t="str">
        <v>TN00735</v>
      </c>
      <c r="N189" t="str">
        <v>Caresa</v>
      </c>
      <c r="O189" t="str">
        <v>Christer</v>
      </c>
      <c r="P189" t="str">
        <v>Male</v>
      </c>
      <c r="Q189" t="str">
        <v>Support</v>
      </c>
      <c r="R189">
        <v>59258.19</v>
      </c>
      <c r="S189" t="str">
        <v>50k to 100k</v>
      </c>
      <c r="T189">
        <v>43452</v>
      </c>
      <c r="U189">
        <v>0.8</v>
      </c>
      <c r="V189" t="str">
        <v>Permanent</v>
      </c>
      <c r="W189" t="str">
        <v>Seattle, USA</v>
      </c>
      <c r="X189">
        <v>5.5123287671232877</v>
      </c>
      <c r="Y189" t="str">
        <v>Part time</v>
      </c>
    </row>
    <row r="190" spans="13:25" x14ac:dyDescent="0.25">
      <c r="M190" t="str">
        <v>TN00735</v>
      </c>
      <c r="N190" t="str">
        <v>Caresa</v>
      </c>
      <c r="O190" t="str">
        <v>Christer</v>
      </c>
      <c r="P190" t="str">
        <v>Male</v>
      </c>
      <c r="Q190" t="str">
        <v>Support</v>
      </c>
      <c r="R190">
        <v>59258.19</v>
      </c>
      <c r="S190" t="str">
        <v>50k to 100k</v>
      </c>
      <c r="T190">
        <v>43452</v>
      </c>
      <c r="U190">
        <v>0.8</v>
      </c>
      <c r="V190" t="str">
        <v>Permanent</v>
      </c>
      <c r="W190" t="str">
        <v>Seattle, USA</v>
      </c>
      <c r="X190">
        <v>5.5123287671232877</v>
      </c>
      <c r="Y190" t="str">
        <v>Part time</v>
      </c>
    </row>
    <row r="191" spans="13:25" x14ac:dyDescent="0.25">
      <c r="M191" t="str">
        <v>VT03988</v>
      </c>
      <c r="N191" t="str">
        <v>Venkat</v>
      </c>
      <c r="O191" t="str">
        <v>Kodi</v>
      </c>
      <c r="P191" t="str">
        <v>Female</v>
      </c>
      <c r="Q191" t="str">
        <v>Support</v>
      </c>
      <c r="R191">
        <v>58935.92</v>
      </c>
      <c r="S191" t="str">
        <v>50k to 100k</v>
      </c>
      <c r="T191">
        <v>43717</v>
      </c>
      <c r="U191">
        <v>1</v>
      </c>
      <c r="V191" t="str">
        <v>Temporary</v>
      </c>
      <c r="W191" t="str">
        <v>Hyderabad, India</v>
      </c>
      <c r="X191">
        <v>4.7863013698630139</v>
      </c>
      <c r="Y191" t="str">
        <v>Full time</v>
      </c>
    </row>
    <row r="192" spans="13:25" x14ac:dyDescent="0.25">
      <c r="M192" t="str">
        <v>PR02016</v>
      </c>
      <c r="N192" t="str">
        <v>Iris</v>
      </c>
      <c r="O192" t="str">
        <v>Wagg</v>
      </c>
      <c r="P192" t="str">
        <v>Female</v>
      </c>
      <c r="Q192" t="str">
        <v>Engineering</v>
      </c>
      <c r="R192">
        <v>58861.19</v>
      </c>
      <c r="S192" t="str">
        <v>50k to 100k</v>
      </c>
      <c r="T192">
        <v>43654</v>
      </c>
      <c r="U192">
        <v>1</v>
      </c>
      <c r="V192" t="str">
        <v>Permanent</v>
      </c>
      <c r="W192" t="str">
        <v>Columbus, USA</v>
      </c>
      <c r="X192">
        <v>4.9589041095890414</v>
      </c>
      <c r="Y192" t="str">
        <v>Full time</v>
      </c>
    </row>
    <row r="193" spans="13:25" x14ac:dyDescent="0.25">
      <c r="M193" t="str">
        <v>VT04415</v>
      </c>
      <c r="N193" t="str">
        <v>Malory</v>
      </c>
      <c r="O193" t="str">
        <v>Biles</v>
      </c>
      <c r="P193" t="str">
        <v>Female</v>
      </c>
      <c r="Q193" t="str">
        <v>Training</v>
      </c>
      <c r="R193">
        <v>58744.17</v>
      </c>
      <c r="S193" t="str">
        <v>50k to 100k</v>
      </c>
      <c r="T193">
        <v>43171</v>
      </c>
      <c r="U193">
        <v>1</v>
      </c>
      <c r="V193" t="str">
        <v>Temporary</v>
      </c>
      <c r="W193" t="str">
        <v>Columbus, USA</v>
      </c>
      <c r="X193">
        <v>6.2821917808219174</v>
      </c>
      <c r="Y193" t="str">
        <v>Full time</v>
      </c>
    </row>
    <row r="194" spans="13:25" x14ac:dyDescent="0.25">
      <c r="M194" t="str">
        <v>TN01701</v>
      </c>
      <c r="N194" t="str">
        <v>Yves</v>
      </c>
      <c r="O194" t="str">
        <v>Pawlik</v>
      </c>
      <c r="P194" t="str">
        <v>Male</v>
      </c>
      <c r="Q194" t="str">
        <v>Accounting</v>
      </c>
      <c r="R194">
        <v>57925.91</v>
      </c>
      <c r="S194" t="str">
        <v>50k to 100k</v>
      </c>
      <c r="T194">
        <v>43572</v>
      </c>
      <c r="U194">
        <v>0.5</v>
      </c>
      <c r="V194" t="str">
        <v>Permanent</v>
      </c>
      <c r="W194" t="str">
        <v>Wellington, New Zealand</v>
      </c>
      <c r="X194">
        <v>5.183561643835616</v>
      </c>
      <c r="Y194" t="str">
        <v>Part time</v>
      </c>
    </row>
    <row r="195" spans="13:25" x14ac:dyDescent="0.25">
      <c r="M195" t="str">
        <v>VT01092</v>
      </c>
      <c r="N195" t="str">
        <v>Tabby</v>
      </c>
      <c r="O195" t="str">
        <v>Astall</v>
      </c>
      <c r="P195" t="str">
        <v>Male</v>
      </c>
      <c r="Q195" t="str">
        <v>Accounting</v>
      </c>
      <c r="R195">
        <v>57419.35</v>
      </c>
      <c r="S195" t="str">
        <v>50k to 100k</v>
      </c>
      <c r="T195">
        <v>43305</v>
      </c>
      <c r="U195">
        <v>1</v>
      </c>
      <c r="V195" t="str">
        <v>Fixed Term</v>
      </c>
      <c r="W195" t="str">
        <v>Auckland, New Zealand</v>
      </c>
      <c r="X195">
        <v>5.9150684931506845</v>
      </c>
      <c r="Y195" t="str">
        <v>Full time</v>
      </c>
    </row>
    <row r="196" spans="13:25" x14ac:dyDescent="0.25">
      <c r="M196" t="str">
        <v>TN02749</v>
      </c>
      <c r="N196" t="str">
        <v>Parasuramudu</v>
      </c>
      <c r="O196" t="str">
        <v>Jamakayala</v>
      </c>
      <c r="P196" t="str">
        <v>Female</v>
      </c>
      <c r="Q196" t="str">
        <v>Training</v>
      </c>
      <c r="R196">
        <v>57002.02</v>
      </c>
      <c r="S196" t="str">
        <v>50k to 100k</v>
      </c>
      <c r="T196">
        <v>43192</v>
      </c>
      <c r="U196">
        <v>0.7</v>
      </c>
      <c r="V196" t="str">
        <v>Permanent</v>
      </c>
      <c r="W196" t="str">
        <v>Hyderabad, India</v>
      </c>
      <c r="X196">
        <v>6.2246575342465755</v>
      </c>
      <c r="Y196" t="str">
        <v>Part time</v>
      </c>
    </row>
    <row r="197" spans="13:25" x14ac:dyDescent="0.25">
      <c r="M197" t="str">
        <v>SQ02565</v>
      </c>
      <c r="N197" t="str">
        <v>Konstantin</v>
      </c>
      <c r="O197" t="str">
        <v>Timblett</v>
      </c>
      <c r="P197" t="str">
        <v>Female</v>
      </c>
      <c r="Q197" t="str">
        <v>Training</v>
      </c>
      <c r="R197">
        <v>56253.81</v>
      </c>
      <c r="S197" t="str">
        <v>50k to 100k</v>
      </c>
      <c r="T197">
        <v>44421</v>
      </c>
      <c r="U197">
        <v>1</v>
      </c>
      <c r="V197" t="str">
        <v>Permanent</v>
      </c>
      <c r="W197" t="str">
        <v>Auckland, New Zealand</v>
      </c>
      <c r="X197">
        <v>2.8575342465753426</v>
      </c>
      <c r="Y197" t="str">
        <v>Full time</v>
      </c>
    </row>
    <row r="198" spans="13:25" x14ac:dyDescent="0.25">
      <c r="M198" t="str">
        <v>SQ00691</v>
      </c>
      <c r="N198" t="str">
        <v>Verla</v>
      </c>
      <c r="O198" t="str">
        <v>Timmis</v>
      </c>
      <c r="P198" t="str">
        <v>Male</v>
      </c>
      <c r="Q198" t="str">
        <v>Support</v>
      </c>
      <c r="R198">
        <v>54137.05</v>
      </c>
      <c r="S198" t="str">
        <v>50k to 100k</v>
      </c>
      <c r="T198">
        <v>43763</v>
      </c>
      <c r="U198">
        <v>1</v>
      </c>
      <c r="V198" t="str">
        <v>Permanent</v>
      </c>
      <c r="W198" t="str">
        <v>Remote</v>
      </c>
      <c r="X198">
        <v>4.6602739726027398</v>
      </c>
      <c r="Y198" t="str">
        <v>Full time</v>
      </c>
    </row>
    <row r="199" spans="13:25" x14ac:dyDescent="0.25">
      <c r="M199" t="str">
        <v>VT02313</v>
      </c>
      <c r="N199" t="str">
        <v>Thekla</v>
      </c>
      <c r="O199" t="str">
        <v>Lynnett</v>
      </c>
      <c r="P199" t="str">
        <v>Male</v>
      </c>
      <c r="Q199" t="str">
        <v>Training</v>
      </c>
      <c r="R199">
        <v>53949.26</v>
      </c>
      <c r="S199" t="str">
        <v>50k to 100k</v>
      </c>
      <c r="T199">
        <v>43808</v>
      </c>
      <c r="U199">
        <v>1</v>
      </c>
      <c r="V199" t="str">
        <v>Temporary</v>
      </c>
      <c r="W199" t="str">
        <v>Columbus, USA</v>
      </c>
      <c r="X199">
        <v>4.536986301369863</v>
      </c>
      <c r="Y199" t="str">
        <v>Full time</v>
      </c>
    </row>
    <row r="200" spans="13:25" x14ac:dyDescent="0.25">
      <c r="M200" t="str">
        <v>VT02313</v>
      </c>
      <c r="N200" t="str">
        <v>Thekla</v>
      </c>
      <c r="O200" t="str">
        <v>Lynnett</v>
      </c>
      <c r="P200" t="str">
        <v>Male</v>
      </c>
      <c r="Q200" t="str">
        <v>Training</v>
      </c>
      <c r="R200">
        <v>53949.26</v>
      </c>
      <c r="S200" t="str">
        <v>50k to 100k</v>
      </c>
      <c r="T200">
        <v>43808</v>
      </c>
      <c r="U200">
        <v>1</v>
      </c>
      <c r="V200" t="str">
        <v>Temporary</v>
      </c>
      <c r="W200" t="str">
        <v>Columbus, USA</v>
      </c>
      <c r="X200">
        <v>4.536986301369863</v>
      </c>
      <c r="Y200" t="str">
        <v>Full time</v>
      </c>
    </row>
    <row r="201" spans="13:25" x14ac:dyDescent="0.25">
      <c r="M201" t="str">
        <v>VT01246</v>
      </c>
      <c r="N201" t="str">
        <v>Zach</v>
      </c>
      <c r="O201" t="str">
        <v>Polon</v>
      </c>
      <c r="P201" t="str">
        <v>Male</v>
      </c>
      <c r="Q201" t="str">
        <v>Marketing</v>
      </c>
      <c r="R201">
        <v>53535.62</v>
      </c>
      <c r="S201" t="str">
        <v>50k to 100k</v>
      </c>
      <c r="T201">
        <v>44110</v>
      </c>
      <c r="U201">
        <v>0.5</v>
      </c>
      <c r="V201" t="str">
        <v>Fixed Term</v>
      </c>
      <c r="W201" t="str">
        <v>Seattle, USA</v>
      </c>
      <c r="X201">
        <v>3.7095890410958905</v>
      </c>
      <c r="Y201" t="str">
        <v>Part time</v>
      </c>
    </row>
    <row r="202" spans="13:25" x14ac:dyDescent="0.25">
      <c r="M202" t="str">
        <v>TN04892</v>
      </c>
      <c r="N202" t="str">
        <v>Luca</v>
      </c>
      <c r="O202" t="str">
        <v>Wolstenholme</v>
      </c>
      <c r="P202" t="str">
        <v>Male</v>
      </c>
      <c r="Q202" t="str">
        <v>Engineering</v>
      </c>
      <c r="R202">
        <v>53184.02</v>
      </c>
      <c r="S202" t="str">
        <v>50k to 100k</v>
      </c>
      <c r="T202">
        <v>43180</v>
      </c>
      <c r="U202">
        <v>1</v>
      </c>
      <c r="V202" t="str">
        <v>Fixed Term</v>
      </c>
      <c r="W202" t="str">
        <v>Remote</v>
      </c>
      <c r="X202">
        <v>6.2575342465753421</v>
      </c>
      <c r="Y202" t="str">
        <v>Full time</v>
      </c>
    </row>
    <row r="203" spans="13:25" x14ac:dyDescent="0.25">
      <c r="M203" t="str">
        <v>PR00882</v>
      </c>
      <c r="N203" t="str">
        <v>Jill</v>
      </c>
      <c r="O203" t="str">
        <v>Shipsey</v>
      </c>
      <c r="P203" t="str">
        <v>Male</v>
      </c>
      <c r="Q203" t="str">
        <v>Accounting</v>
      </c>
      <c r="R203">
        <v>52963.65</v>
      </c>
      <c r="S203" t="str">
        <v>50k to 100k</v>
      </c>
      <c r="T203">
        <v>44288</v>
      </c>
      <c r="U203">
        <v>0.3</v>
      </c>
      <c r="V203" t="str">
        <v>Permanent</v>
      </c>
      <c r="W203" t="str">
        <v>Columbus, USA</v>
      </c>
      <c r="X203">
        <v>3.2219178082191782</v>
      </c>
      <c r="Y203" t="str">
        <v>Part time</v>
      </c>
    </row>
    <row r="204" spans="13:25" x14ac:dyDescent="0.25">
      <c r="M204" t="str">
        <v>TN00464</v>
      </c>
      <c r="N204" t="str">
        <v>Gopal</v>
      </c>
      <c r="O204" t="str">
        <v>Venkata</v>
      </c>
      <c r="P204" t="str">
        <v>Male</v>
      </c>
      <c r="Q204" t="str">
        <v>Research and Development</v>
      </c>
      <c r="R204">
        <v>52748.63</v>
      </c>
      <c r="S204" t="str">
        <v>50k to 100k</v>
      </c>
      <c r="T204">
        <v>43857</v>
      </c>
      <c r="U204">
        <v>1</v>
      </c>
      <c r="V204" t="str">
        <v>Permanent</v>
      </c>
      <c r="W204" t="str">
        <v>Chennai, India</v>
      </c>
      <c r="X204">
        <v>4.4027397260273968</v>
      </c>
      <c r="Y204" t="str">
        <v>Full time</v>
      </c>
    </row>
    <row r="205" spans="13:25" x14ac:dyDescent="0.25">
      <c r="M205" t="str">
        <v>SQ02424</v>
      </c>
      <c r="N205" t="str">
        <v>Kevalkumar</v>
      </c>
      <c r="O205" t="str">
        <v>Solanki</v>
      </c>
      <c r="P205" t="str">
        <v>Male</v>
      </c>
      <c r="Q205" t="str">
        <v>Accounting</v>
      </c>
      <c r="R205">
        <v>52270.22</v>
      </c>
      <c r="S205" t="str">
        <v>50k to 100k</v>
      </c>
      <c r="T205">
        <v>43521</v>
      </c>
      <c r="U205">
        <v>0.3</v>
      </c>
      <c r="V205" t="str">
        <v>Permanent</v>
      </c>
      <c r="W205" t="str">
        <v>Chennai, India</v>
      </c>
      <c r="X205">
        <v>5.3232876712328769</v>
      </c>
      <c r="Y205" t="str">
        <v>Part time</v>
      </c>
    </row>
    <row r="206" spans="13:25" x14ac:dyDescent="0.25">
      <c r="M206" t="str">
        <v>VT03849</v>
      </c>
      <c r="N206" t="str">
        <v>Leonidas</v>
      </c>
      <c r="O206" t="str">
        <v>Cavaney</v>
      </c>
      <c r="P206" t="str">
        <v>Male</v>
      </c>
      <c r="Q206" t="str">
        <v>Accounting</v>
      </c>
      <c r="R206">
        <v>52246.29</v>
      </c>
      <c r="S206" t="str">
        <v>50k to 100k</v>
      </c>
      <c r="T206">
        <v>43573</v>
      </c>
      <c r="U206">
        <v>1</v>
      </c>
      <c r="V206" t="str">
        <v>Temporary</v>
      </c>
      <c r="W206" t="str">
        <v>Wellington, New Zealand</v>
      </c>
      <c r="X206">
        <v>5.1808219178082195</v>
      </c>
      <c r="Y206" t="str">
        <v>Full time</v>
      </c>
    </row>
    <row r="207" spans="13:25" x14ac:dyDescent="0.25">
      <c r="M207" t="str">
        <v>SQ02582</v>
      </c>
      <c r="N207" t="str">
        <v>Kaishori</v>
      </c>
      <c r="O207" t="str">
        <v>Harathi</v>
      </c>
      <c r="P207" t="str">
        <v>Female</v>
      </c>
      <c r="Q207" t="str">
        <v>Product Management</v>
      </c>
      <c r="R207">
        <v>51798.25</v>
      </c>
      <c r="S207" t="str">
        <v>50k to 100k</v>
      </c>
      <c r="T207">
        <v>43665</v>
      </c>
      <c r="U207">
        <v>1</v>
      </c>
      <c r="V207" t="str">
        <v>Permanent</v>
      </c>
      <c r="W207" t="str">
        <v>Hyderabad, India</v>
      </c>
      <c r="X207">
        <v>4.9287671232876713</v>
      </c>
      <c r="Y207" t="str">
        <v>Full time</v>
      </c>
    </row>
    <row r="208" spans="13:25" x14ac:dyDescent="0.25">
      <c r="M208" t="str">
        <v>VT02118</v>
      </c>
      <c r="N208" t="str">
        <v>Oorjit</v>
      </c>
      <c r="O208" t="str">
        <v>Nandanavanam</v>
      </c>
      <c r="P208" t="str">
        <v>Female</v>
      </c>
      <c r="Q208" t="str">
        <v>Engineering</v>
      </c>
      <c r="R208">
        <v>51165.37</v>
      </c>
      <c r="S208" t="str">
        <v>50k to 100k</v>
      </c>
      <c r="T208">
        <v>44237</v>
      </c>
      <c r="U208">
        <v>1</v>
      </c>
      <c r="V208" t="str">
        <v>Fixed Term</v>
      </c>
      <c r="W208" t="str">
        <v>Hyderabad, India</v>
      </c>
      <c r="X208">
        <v>3.3616438356164382</v>
      </c>
      <c r="Y208" t="str">
        <v>Full time</v>
      </c>
    </row>
    <row r="209" spans="13:25" x14ac:dyDescent="0.25">
      <c r="M209" t="str">
        <v>SQ02525</v>
      </c>
      <c r="N209" t="str">
        <v>Mickie</v>
      </c>
      <c r="O209" t="str">
        <v>Dagwell</v>
      </c>
      <c r="P209" t="str">
        <v>Male</v>
      </c>
      <c r="Q209" t="str">
        <v>Engineering</v>
      </c>
      <c r="R209">
        <v>50855.53</v>
      </c>
      <c r="S209" t="str">
        <v>50k to 100k</v>
      </c>
      <c r="T209">
        <v>44221</v>
      </c>
      <c r="U209">
        <v>1</v>
      </c>
      <c r="V209" t="str">
        <v>Permanent</v>
      </c>
      <c r="W209" t="str">
        <v>Wellington, New Zealand</v>
      </c>
      <c r="X209">
        <v>3.4054794520547946</v>
      </c>
      <c r="Y209" t="str">
        <v>Full time</v>
      </c>
    </row>
    <row r="210" spans="13:25" x14ac:dyDescent="0.25">
      <c r="M210" t="str">
        <v>PR01662</v>
      </c>
      <c r="N210" t="str">
        <v>Genevra</v>
      </c>
      <c r="O210" t="str">
        <v>Friday</v>
      </c>
      <c r="P210" t="str">
        <v>Female</v>
      </c>
      <c r="Q210" t="str">
        <v>Research and Development</v>
      </c>
      <c r="R210">
        <v>50449.46</v>
      </c>
      <c r="S210" t="str">
        <v>50k to 100k</v>
      </c>
      <c r="T210">
        <v>43418</v>
      </c>
      <c r="U210">
        <v>0.8</v>
      </c>
      <c r="V210" t="str">
        <v>Permanent</v>
      </c>
      <c r="W210" t="str">
        <v>Auckland, New Zealand</v>
      </c>
      <c r="X210">
        <v>5.6054794520547944</v>
      </c>
      <c r="Y210" t="str">
        <v>Part time</v>
      </c>
    </row>
    <row r="211" spans="13:25" x14ac:dyDescent="0.25">
      <c r="M211" t="str">
        <v>PR00893</v>
      </c>
      <c r="N211" t="str">
        <v>Vasavi</v>
      </c>
      <c r="O211" t="str">
        <v>Veeravasarapu</v>
      </c>
      <c r="P211" t="str">
        <v>Male</v>
      </c>
      <c r="Q211" t="str">
        <v>Human Resources</v>
      </c>
      <c r="R211">
        <v>50310.09</v>
      </c>
      <c r="S211" t="str">
        <v>50k to 100k</v>
      </c>
      <c r="T211">
        <v>44285</v>
      </c>
      <c r="U211">
        <v>0.4</v>
      </c>
      <c r="V211" t="str">
        <v>Permanent</v>
      </c>
      <c r="W211" t="str">
        <v>Hyderabad, India</v>
      </c>
      <c r="X211">
        <v>3.2301369863013698</v>
      </c>
      <c r="Y211" t="str">
        <v>Part time</v>
      </c>
    </row>
    <row r="212" spans="13:25" x14ac:dyDescent="0.25">
      <c r="M212" t="str">
        <v>SQ01519</v>
      </c>
      <c r="N212" t="str">
        <v>Caron</v>
      </c>
      <c r="O212" t="str">
        <v>Kolakovic</v>
      </c>
      <c r="P212" t="str">
        <v>Male</v>
      </c>
      <c r="Q212" t="str">
        <v>Accounting</v>
      </c>
      <c r="R212">
        <v>49915.14</v>
      </c>
      <c r="S212" t="str">
        <v>Under 50k</v>
      </c>
      <c r="T212">
        <v>43550</v>
      </c>
      <c r="U212">
        <v>1</v>
      </c>
      <c r="V212" t="str">
        <v>Permanent</v>
      </c>
      <c r="W212" t="str">
        <v>Remote</v>
      </c>
      <c r="X212">
        <v>5.2438356164383562</v>
      </c>
      <c r="Y212" t="str">
        <v>Full time</v>
      </c>
    </row>
    <row r="213" spans="13:25" x14ac:dyDescent="0.25">
      <c r="M213" t="str">
        <v>VT00194</v>
      </c>
      <c r="N213" t="str">
        <v>Violante</v>
      </c>
      <c r="O213" t="str">
        <v>Courtonne</v>
      </c>
      <c r="P213" t="str">
        <v>Female</v>
      </c>
      <c r="Q213" t="str">
        <v>Product Management</v>
      </c>
      <c r="R213">
        <v>49625.64</v>
      </c>
      <c r="S213" t="str">
        <v>Under 50k</v>
      </c>
      <c r="T213">
        <v>44384</v>
      </c>
      <c r="U213">
        <v>0.5</v>
      </c>
      <c r="V213" t="str">
        <v>Fixed Term</v>
      </c>
      <c r="W213" t="str">
        <v>Remote</v>
      </c>
      <c r="X213">
        <v>2.9589041095890409</v>
      </c>
      <c r="Y213" t="str">
        <v>Part time</v>
      </c>
    </row>
    <row r="214" spans="13:25" x14ac:dyDescent="0.25">
      <c r="M214" t="str">
        <v>PR01943</v>
      </c>
      <c r="N214" t="str">
        <v>Rameshwari</v>
      </c>
      <c r="O214" t="str">
        <v>Chikodi</v>
      </c>
      <c r="P214" t="str">
        <v>Male</v>
      </c>
      <c r="Q214" t="str">
        <v>Human Resources</v>
      </c>
      <c r="R214">
        <v>48525.71</v>
      </c>
      <c r="S214" t="str">
        <v>Under 50k</v>
      </c>
      <c r="T214">
        <v>43264</v>
      </c>
      <c r="U214">
        <v>1</v>
      </c>
      <c r="V214" t="str">
        <v>Permanent</v>
      </c>
      <c r="W214" t="str">
        <v>Hyderabad, India</v>
      </c>
      <c r="X214">
        <v>6.0273972602739727</v>
      </c>
      <c r="Y214" t="str">
        <v>Full time</v>
      </c>
    </row>
    <row r="215" spans="13:25" x14ac:dyDescent="0.25">
      <c r="M215" t="str">
        <v>VT00336</v>
      </c>
      <c r="N215" t="str">
        <v>Shevantilal</v>
      </c>
      <c r="O215" t="str">
        <v>Muppala</v>
      </c>
      <c r="P215" t="str">
        <v>Male</v>
      </c>
      <c r="Q215" t="str">
        <v>Services</v>
      </c>
      <c r="R215">
        <v>47646.95</v>
      </c>
      <c r="S215" t="str">
        <v>Under 50k</v>
      </c>
      <c r="T215">
        <v>43791</v>
      </c>
      <c r="U215">
        <v>0.3</v>
      </c>
      <c r="V215" t="str">
        <v>Fixed Term</v>
      </c>
      <c r="W215" t="str">
        <v>Chennai, India</v>
      </c>
      <c r="X215">
        <v>4.5835616438356164</v>
      </c>
      <c r="Y215" t="str">
        <v>Part time</v>
      </c>
    </row>
    <row r="216" spans="13:25" x14ac:dyDescent="0.25">
      <c r="M216" t="str">
        <v>PR04366</v>
      </c>
      <c r="N216" t="str">
        <v>Carry</v>
      </c>
      <c r="O216" t="str">
        <v>Loblie</v>
      </c>
      <c r="P216" t="str">
        <v>Female</v>
      </c>
      <c r="Q216" t="str">
        <v>Sales</v>
      </c>
      <c r="R216">
        <v>47551.89</v>
      </c>
      <c r="S216" t="str">
        <v>Under 50k</v>
      </c>
      <c r="T216">
        <v>43468</v>
      </c>
      <c r="U216">
        <v>1</v>
      </c>
      <c r="V216" t="str">
        <v>Permanent</v>
      </c>
      <c r="W216" t="str">
        <v>Auckland, New Zealand</v>
      </c>
      <c r="X216">
        <v>5.4684931506849317</v>
      </c>
      <c r="Y216" t="str">
        <v>Full time</v>
      </c>
    </row>
    <row r="217" spans="13:25" x14ac:dyDescent="0.25">
      <c r="M217" t="str">
        <v>VT04984</v>
      </c>
      <c r="N217" t="str">
        <v>Dell</v>
      </c>
      <c r="O217" t="str">
        <v>Molloy</v>
      </c>
      <c r="P217" t="str">
        <v>Male</v>
      </c>
      <c r="Q217" t="str">
        <v>Engineering</v>
      </c>
      <c r="R217">
        <v>47362.62</v>
      </c>
      <c r="S217" t="str">
        <v>Under 50k</v>
      </c>
      <c r="T217">
        <v>43973</v>
      </c>
      <c r="U217">
        <v>1</v>
      </c>
      <c r="V217" t="str">
        <v>Temporary</v>
      </c>
      <c r="W217" t="str">
        <v>Remote</v>
      </c>
      <c r="X217">
        <v>4.0849315068493155</v>
      </c>
      <c r="Y217" t="str">
        <v>Full time</v>
      </c>
    </row>
    <row r="218" spans="13:25" x14ac:dyDescent="0.25">
      <c r="M218" t="str">
        <v>VT00740</v>
      </c>
      <c r="N218" t="str">
        <v>Chitrasen</v>
      </c>
      <c r="O218" t="str">
        <v>Laul</v>
      </c>
      <c r="P218" t="str">
        <v>Female</v>
      </c>
      <c r="Q218" t="str">
        <v>Research and Development</v>
      </c>
      <c r="R218">
        <v>46751.7</v>
      </c>
      <c r="S218" t="str">
        <v>Under 50k</v>
      </c>
      <c r="T218">
        <v>43843</v>
      </c>
      <c r="U218">
        <v>1</v>
      </c>
      <c r="V218" t="str">
        <v>Fixed Term</v>
      </c>
      <c r="W218" t="str">
        <v>Hyderabad, India</v>
      </c>
      <c r="X218">
        <v>4.441095890410959</v>
      </c>
      <c r="Y218" t="str">
        <v>Full time</v>
      </c>
    </row>
    <row r="219" spans="13:25" x14ac:dyDescent="0.25">
      <c r="M219" t="str">
        <v>SQ02223</v>
      </c>
      <c r="N219" t="str">
        <v>Pippy</v>
      </c>
      <c r="O219" t="str">
        <v>Shepperd</v>
      </c>
      <c r="P219" t="str">
        <v>Female</v>
      </c>
      <c r="Q219" t="str">
        <v>Accounting</v>
      </c>
      <c r="R219">
        <v>44845.33</v>
      </c>
      <c r="S219" t="str">
        <v>Under 50k</v>
      </c>
      <c r="T219">
        <v>43277</v>
      </c>
      <c r="U219">
        <v>1</v>
      </c>
      <c r="V219" t="str">
        <v>Permanent</v>
      </c>
      <c r="W219" t="str">
        <v>Seattle, USA</v>
      </c>
      <c r="X219">
        <v>5.9917808219178079</v>
      </c>
      <c r="Y219" t="str">
        <v>Full time</v>
      </c>
    </row>
    <row r="220" spans="13:25" x14ac:dyDescent="0.25">
      <c r="M220" t="str">
        <v>SQ00960</v>
      </c>
      <c r="N220" t="str">
        <v>Calvin</v>
      </c>
      <c r="O220" t="str">
        <v>O'Carroll</v>
      </c>
      <c r="P220" t="str">
        <v>Female</v>
      </c>
      <c r="Q220" t="str">
        <v>Research and Development</v>
      </c>
      <c r="R220">
        <v>44447.26</v>
      </c>
      <c r="S220" t="str">
        <v>Under 50k</v>
      </c>
      <c r="T220">
        <v>43846</v>
      </c>
      <c r="U220">
        <v>0.4</v>
      </c>
      <c r="V220" t="str">
        <v>Permanent</v>
      </c>
      <c r="W220" t="str">
        <v>Seattle, USA</v>
      </c>
      <c r="X220">
        <v>4.4328767123287669</v>
      </c>
      <c r="Y220" t="str">
        <v>Part time</v>
      </c>
    </row>
    <row r="221" spans="13:25" x14ac:dyDescent="0.25">
      <c r="M221" t="str">
        <v>SQ01402</v>
      </c>
      <c r="N221" t="str">
        <v>Sahaj</v>
      </c>
      <c r="O221" t="str">
        <v>Jonnalagadda</v>
      </c>
      <c r="P221" t="str">
        <v>Female</v>
      </c>
      <c r="Q221" t="str">
        <v>Engineering</v>
      </c>
      <c r="R221">
        <v>44403.77</v>
      </c>
      <c r="S221" t="str">
        <v>Under 50k</v>
      </c>
      <c r="T221">
        <v>43416</v>
      </c>
      <c r="U221">
        <v>1</v>
      </c>
      <c r="V221" t="str">
        <v>Permanent</v>
      </c>
      <c r="W221" t="str">
        <v>Hyderabad, India</v>
      </c>
      <c r="X221">
        <v>5.6109589041095891</v>
      </c>
      <c r="Y221" t="str">
        <v>Full time</v>
      </c>
    </row>
    <row r="222" spans="13:25" x14ac:dyDescent="0.25">
      <c r="M222" t="str">
        <v>TN03416</v>
      </c>
      <c r="N222" t="str">
        <v>Seward</v>
      </c>
      <c r="O222" t="str">
        <v>Kubera</v>
      </c>
      <c r="P222" t="str">
        <v>Male</v>
      </c>
      <c r="Q222" t="str">
        <v>Engineering</v>
      </c>
      <c r="R222">
        <v>43329.22</v>
      </c>
      <c r="S222" t="str">
        <v>Under 50k</v>
      </c>
      <c r="T222">
        <v>43809</v>
      </c>
      <c r="U222">
        <v>0.5</v>
      </c>
      <c r="V222" t="str">
        <v>Fixed Term</v>
      </c>
      <c r="W222" t="str">
        <v>Remote</v>
      </c>
      <c r="X222">
        <v>4.5342465753424657</v>
      </c>
      <c r="Y222" t="str">
        <v>Part time</v>
      </c>
    </row>
    <row r="223" spans="13:25" x14ac:dyDescent="0.25">
      <c r="M223" t="str">
        <v>VT00578</v>
      </c>
      <c r="N223" t="str">
        <v>Magnum</v>
      </c>
      <c r="O223" t="str">
        <v>Locksley</v>
      </c>
      <c r="P223" t="str">
        <v>Female</v>
      </c>
      <c r="Q223" t="str">
        <v>Services</v>
      </c>
      <c r="R223">
        <v>42314.39</v>
      </c>
      <c r="S223" t="str">
        <v>Under 50k</v>
      </c>
      <c r="T223">
        <v>44487</v>
      </c>
      <c r="U223">
        <v>1</v>
      </c>
      <c r="V223" t="str">
        <v>Fixed Term</v>
      </c>
      <c r="W223" t="str">
        <v>Remote</v>
      </c>
      <c r="X223">
        <v>2.6767123287671235</v>
      </c>
      <c r="Y223" t="str">
        <v>Full time</v>
      </c>
    </row>
    <row r="224" spans="13:25" x14ac:dyDescent="0.25">
      <c r="M224" t="str">
        <v>TN00727</v>
      </c>
      <c r="N224" t="str">
        <v>Dulsea</v>
      </c>
      <c r="O224" t="str">
        <v>Folkes</v>
      </c>
      <c r="P224" t="str">
        <v>Female</v>
      </c>
      <c r="Q224" t="str">
        <v>Services</v>
      </c>
      <c r="R224">
        <v>42161.77</v>
      </c>
      <c r="S224" t="str">
        <v>Under 50k</v>
      </c>
      <c r="T224">
        <v>43494</v>
      </c>
      <c r="U224">
        <v>1</v>
      </c>
      <c r="V224" t="str">
        <v>Permanent</v>
      </c>
      <c r="W224" t="str">
        <v>Auckland, New Zealand</v>
      </c>
      <c r="X224">
        <v>5.397260273972603</v>
      </c>
      <c r="Y224" t="str">
        <v>Full time</v>
      </c>
    </row>
    <row r="225" spans="13:25" x14ac:dyDescent="0.25">
      <c r="M225" t="str">
        <v>PR02275</v>
      </c>
      <c r="N225" t="str">
        <v>Louise</v>
      </c>
      <c r="O225" t="str">
        <v>Lamming</v>
      </c>
      <c r="P225" t="str">
        <v>Female</v>
      </c>
      <c r="Q225" t="str">
        <v>Sales</v>
      </c>
      <c r="R225">
        <v>41934.71</v>
      </c>
      <c r="S225" t="str">
        <v>Under 50k</v>
      </c>
      <c r="T225">
        <v>43780</v>
      </c>
      <c r="U225">
        <v>1</v>
      </c>
      <c r="V225" t="str">
        <v>Permanent</v>
      </c>
      <c r="W225" t="str">
        <v>Remote</v>
      </c>
      <c r="X225">
        <v>4.6136986301369864</v>
      </c>
      <c r="Y225" t="str">
        <v>Full time</v>
      </c>
    </row>
    <row r="226" spans="13:25" x14ac:dyDescent="0.25">
      <c r="M226" t="str">
        <v>SQ00450</v>
      </c>
      <c r="N226" t="str">
        <v>Louise</v>
      </c>
      <c r="O226" t="str">
        <v>Lamming</v>
      </c>
      <c r="P226" t="str">
        <v>Female</v>
      </c>
      <c r="Q226" t="str">
        <v>Sales</v>
      </c>
      <c r="R226">
        <v>41934.71</v>
      </c>
      <c r="S226" t="str">
        <v>Under 50k</v>
      </c>
      <c r="T226">
        <v>43943</v>
      </c>
      <c r="U226">
        <v>1</v>
      </c>
      <c r="V226" t="str">
        <v>Permanent</v>
      </c>
      <c r="W226" t="str">
        <v>Remote</v>
      </c>
      <c r="X226">
        <v>4.1671232876712327</v>
      </c>
      <c r="Y226" t="str">
        <v>Full time</v>
      </c>
    </row>
    <row r="227" spans="13:25" x14ac:dyDescent="0.25">
      <c r="M227" t="str">
        <v>SQ00360</v>
      </c>
      <c r="N227" t="str">
        <v>Orlando</v>
      </c>
      <c r="O227" t="str">
        <v>Gorstidge</v>
      </c>
      <c r="P227" t="str">
        <v>Male</v>
      </c>
      <c r="Q227" t="str">
        <v>Marketing</v>
      </c>
      <c r="R227">
        <v>40753.54</v>
      </c>
      <c r="S227" t="str">
        <v>Under 50k</v>
      </c>
      <c r="T227">
        <v>43152</v>
      </c>
      <c r="U227">
        <v>0.6</v>
      </c>
      <c r="V227" t="str">
        <v>Permanent</v>
      </c>
      <c r="W227" t="str">
        <v>Wellington, New Zealand</v>
      </c>
      <c r="X227">
        <v>6.3342465753424655</v>
      </c>
      <c r="Y227" t="str">
        <v>Part time</v>
      </c>
    </row>
    <row r="228" spans="13:25" x14ac:dyDescent="0.25">
      <c r="M228" t="str">
        <v>SQ01998</v>
      </c>
      <c r="N228" t="str">
        <v>Vanmala</v>
      </c>
      <c r="O228" t="str">
        <v>Shriharsha</v>
      </c>
      <c r="P228" t="str">
        <v>Male</v>
      </c>
      <c r="Q228" t="str">
        <v>Product Management</v>
      </c>
      <c r="R228">
        <v>40445.29</v>
      </c>
      <c r="S228" t="str">
        <v>Under 50k</v>
      </c>
      <c r="T228">
        <v>44393</v>
      </c>
      <c r="U228">
        <v>1</v>
      </c>
      <c r="V228" t="str">
        <v>Permanent</v>
      </c>
      <c r="W228" t="str">
        <v>Chennai, India</v>
      </c>
      <c r="X228">
        <v>2.9342465753424656</v>
      </c>
      <c r="Y228" t="str">
        <v>Full time</v>
      </c>
    </row>
    <row r="229" spans="13:25" x14ac:dyDescent="0.25">
      <c r="M229" t="str">
        <v>SQ01998</v>
      </c>
      <c r="N229" t="str">
        <v>Sahas</v>
      </c>
      <c r="O229" t="str">
        <v>Sanabhi</v>
      </c>
      <c r="P229" t="str">
        <v>Male</v>
      </c>
      <c r="Q229" t="str">
        <v>Product Management</v>
      </c>
      <c r="R229">
        <v>40445.29</v>
      </c>
      <c r="S229" t="str">
        <v>Under 50k</v>
      </c>
      <c r="T229">
        <v>44393</v>
      </c>
      <c r="U229">
        <v>1</v>
      </c>
      <c r="V229" t="str">
        <v>Permanent</v>
      </c>
      <c r="W229" t="str">
        <v>Chennai, India</v>
      </c>
      <c r="X229">
        <v>2.9342465753424656</v>
      </c>
      <c r="Y229" t="str">
        <v>Full time</v>
      </c>
    </row>
    <row r="230" spans="13:25" x14ac:dyDescent="0.25">
      <c r="M230" t="str">
        <v>VT02539</v>
      </c>
      <c r="N230" t="str">
        <v>Devinne</v>
      </c>
      <c r="O230" t="str">
        <v>Tuny</v>
      </c>
      <c r="P230" t="str">
        <v>Male</v>
      </c>
      <c r="Q230" t="str">
        <v>Engineering</v>
      </c>
      <c r="R230">
        <v>39969.72</v>
      </c>
      <c r="S230" t="str">
        <v>Under 50k</v>
      </c>
      <c r="T230">
        <v>43444</v>
      </c>
      <c r="U230">
        <v>1</v>
      </c>
      <c r="V230" t="str">
        <v>Temporary</v>
      </c>
      <c r="W230" t="str">
        <v>Columbus, USA</v>
      </c>
      <c r="X230">
        <v>5.5342465753424657</v>
      </c>
      <c r="Y230" t="str">
        <v>Full time</v>
      </c>
    </row>
    <row r="231" spans="13:25" x14ac:dyDescent="0.25">
      <c r="M231" t="str">
        <v>TN03068</v>
      </c>
      <c r="N231" t="str">
        <v>Gumwant</v>
      </c>
      <c r="O231" t="str">
        <v>Veera</v>
      </c>
      <c r="P231" t="str">
        <v>Male</v>
      </c>
      <c r="Q231" t="str">
        <v>Business Development</v>
      </c>
      <c r="R231">
        <v>39784.239999999998</v>
      </c>
      <c r="S231" t="str">
        <v>Under 50k</v>
      </c>
      <c r="T231">
        <v>43465</v>
      </c>
      <c r="U231">
        <v>1</v>
      </c>
      <c r="V231" t="str">
        <v>Fixed Term</v>
      </c>
      <c r="W231" t="str">
        <v>Chennai, India</v>
      </c>
      <c r="X231">
        <v>5.4767123287671229</v>
      </c>
      <c r="Y231" t="str">
        <v>Full time</v>
      </c>
    </row>
    <row r="232" spans="13:25" x14ac:dyDescent="0.25">
      <c r="M232" t="str">
        <v>TN03032</v>
      </c>
      <c r="N232" t="str">
        <v>Jaipal</v>
      </c>
      <c r="O232" t="str">
        <v>Potanapudi</v>
      </c>
      <c r="P232" t="str">
        <v>Female</v>
      </c>
      <c r="Q232" t="str">
        <v>Research and Development</v>
      </c>
      <c r="R232">
        <v>39700.82</v>
      </c>
      <c r="S232" t="str">
        <v>Under 50k</v>
      </c>
      <c r="T232">
        <v>44203</v>
      </c>
      <c r="U232">
        <v>0.8</v>
      </c>
      <c r="V232" t="str">
        <v>Permanent</v>
      </c>
      <c r="W232" t="str">
        <v>Chennai, India</v>
      </c>
      <c r="X232">
        <v>3.4547945205479453</v>
      </c>
      <c r="Y232" t="str">
        <v>Part time</v>
      </c>
    </row>
    <row r="233" spans="13:25" x14ac:dyDescent="0.25">
      <c r="M233" t="str">
        <v>TN03032</v>
      </c>
      <c r="N233" t="str">
        <v>Fullara</v>
      </c>
      <c r="O233" t="str">
        <v>Sushanti</v>
      </c>
      <c r="P233" t="str">
        <v>Female</v>
      </c>
      <c r="Q233" t="str">
        <v>Research and Development</v>
      </c>
      <c r="R233">
        <v>39700.82</v>
      </c>
      <c r="S233" t="str">
        <v>Under 50k</v>
      </c>
      <c r="T233">
        <v>44203</v>
      </c>
      <c r="U233">
        <v>0.8</v>
      </c>
      <c r="V233" t="str">
        <v>Permanent</v>
      </c>
      <c r="W233" t="str">
        <v>Chennai, India</v>
      </c>
      <c r="X233">
        <v>3.4547945205479453</v>
      </c>
      <c r="Y233" t="str">
        <v>Part time</v>
      </c>
    </row>
    <row r="234" spans="13:25" x14ac:dyDescent="0.25">
      <c r="M234" t="str">
        <v>PR03271</v>
      </c>
      <c r="N234" t="str">
        <v>Stan</v>
      </c>
      <c r="O234" t="str">
        <v>Tolliday</v>
      </c>
      <c r="P234" t="str">
        <v>Female</v>
      </c>
      <c r="Q234" t="str">
        <v>Sales</v>
      </c>
      <c r="R234">
        <v>39535.49</v>
      </c>
      <c r="S234" t="str">
        <v>Under 50k</v>
      </c>
      <c r="T234">
        <v>43397</v>
      </c>
      <c r="U234">
        <v>0.3</v>
      </c>
      <c r="V234" t="str">
        <v>Permanent</v>
      </c>
      <c r="W234" t="str">
        <v>Remote</v>
      </c>
      <c r="X234">
        <v>5.6630136986301371</v>
      </c>
      <c r="Y234" t="str">
        <v>Part time</v>
      </c>
    </row>
    <row r="235" spans="13:25" x14ac:dyDescent="0.25">
      <c r="M235" t="str">
        <v>VT04273</v>
      </c>
      <c r="N235" t="str">
        <v>Brad</v>
      </c>
      <c r="O235" t="str">
        <v>Gumb</v>
      </c>
      <c r="P235" t="str">
        <v>Male</v>
      </c>
      <c r="Q235" t="str">
        <v>Accounting</v>
      </c>
      <c r="R235">
        <v>38825.18</v>
      </c>
      <c r="S235" t="str">
        <v>Under 50k</v>
      </c>
      <c r="T235">
        <v>43696</v>
      </c>
      <c r="U235">
        <v>1</v>
      </c>
      <c r="V235" t="str">
        <v>Temporary</v>
      </c>
      <c r="W235" t="str">
        <v>Remote</v>
      </c>
      <c r="X235">
        <v>4.8438356164383558</v>
      </c>
      <c r="Y235" t="str">
        <v>Full time</v>
      </c>
    </row>
    <row r="236" spans="13:25" x14ac:dyDescent="0.25">
      <c r="M236" t="str">
        <v>SQ00914</v>
      </c>
      <c r="N236" t="str">
        <v>Duran</v>
      </c>
      <c r="O236" t="str">
        <v>Appala</v>
      </c>
      <c r="P236" t="str">
        <v>Female</v>
      </c>
      <c r="Q236" t="str">
        <v>Product Management</v>
      </c>
      <c r="R236">
        <v>38438.239999999998</v>
      </c>
      <c r="S236" t="str">
        <v>Under 50k</v>
      </c>
      <c r="T236">
        <v>43962</v>
      </c>
      <c r="U236">
        <v>1</v>
      </c>
      <c r="V236" t="str">
        <v>Permanent</v>
      </c>
      <c r="W236" t="str">
        <v>Chennai, India</v>
      </c>
      <c r="X236">
        <v>4.1150684931506847</v>
      </c>
      <c r="Y236" t="str">
        <v>Full time</v>
      </c>
    </row>
    <row r="237" spans="13:25" x14ac:dyDescent="0.25">
      <c r="M237" t="str">
        <v>SQ00914</v>
      </c>
      <c r="N237" t="str">
        <v>Karuna</v>
      </c>
      <c r="O237" t="str">
        <v>Pashupathy</v>
      </c>
      <c r="P237" t="str">
        <v>Female</v>
      </c>
      <c r="Q237" t="str">
        <v>Product Management</v>
      </c>
      <c r="R237">
        <v>38438.239999999998</v>
      </c>
      <c r="S237" t="str">
        <v>Under 50k</v>
      </c>
      <c r="T237">
        <v>43962</v>
      </c>
      <c r="U237">
        <v>1</v>
      </c>
      <c r="V237" t="str">
        <v>Permanent</v>
      </c>
      <c r="W237" t="str">
        <v>Chennai, India</v>
      </c>
      <c r="X237">
        <v>4.1150684931506847</v>
      </c>
      <c r="Y237" t="str">
        <v>Full time</v>
      </c>
    </row>
    <row r="238" spans="13:25" x14ac:dyDescent="0.25">
      <c r="M238" t="str">
        <v>TN00214</v>
      </c>
      <c r="N238" t="str">
        <v>Devsena</v>
      </c>
      <c r="O238" t="str">
        <v>Veluvalapalli</v>
      </c>
      <c r="P238" t="str">
        <v>Female</v>
      </c>
      <c r="Q238" t="str">
        <v>Training</v>
      </c>
      <c r="R238">
        <v>37902.35</v>
      </c>
      <c r="S238" t="str">
        <v>Under 50k</v>
      </c>
      <c r="T238">
        <v>43823</v>
      </c>
      <c r="U238">
        <v>1</v>
      </c>
      <c r="V238" t="str">
        <v>Permanent</v>
      </c>
      <c r="W238" t="str">
        <v>Chennai, India</v>
      </c>
      <c r="X238">
        <v>4.4958904109589044</v>
      </c>
      <c r="Y238" t="str">
        <v>Full time</v>
      </c>
    </row>
    <row r="239" spans="13:25" x14ac:dyDescent="0.25">
      <c r="M239" t="str">
        <v>TN00214</v>
      </c>
      <c r="N239" t="str">
        <v>Hemavati</v>
      </c>
      <c r="O239" t="str">
        <v>Muthiah</v>
      </c>
      <c r="P239" t="str">
        <v>Female</v>
      </c>
      <c r="Q239" t="str">
        <v>Training</v>
      </c>
      <c r="R239">
        <v>37902.35</v>
      </c>
      <c r="S239" t="str">
        <v>Under 50k</v>
      </c>
      <c r="T239">
        <v>43823</v>
      </c>
      <c r="U239">
        <v>1</v>
      </c>
      <c r="V239" t="str">
        <v>Permanent</v>
      </c>
      <c r="W239" t="str">
        <v>Chennai, India</v>
      </c>
      <c r="X239">
        <v>4.4958904109589044</v>
      </c>
      <c r="Y239" t="str">
        <v>Full time</v>
      </c>
    </row>
    <row r="240" spans="13:25" x14ac:dyDescent="0.25">
      <c r="M240" t="str">
        <v>PR02782</v>
      </c>
      <c r="N240" t="str">
        <v>Isaak</v>
      </c>
      <c r="O240" t="str">
        <v>Rawne</v>
      </c>
      <c r="P240" t="str">
        <v>Male</v>
      </c>
      <c r="Q240" t="str">
        <v>Marketing</v>
      </c>
      <c r="R240">
        <v>37362.300000000003</v>
      </c>
      <c r="S240" t="str">
        <v>Under 50k</v>
      </c>
      <c r="T240">
        <v>43642</v>
      </c>
      <c r="U240">
        <v>1</v>
      </c>
      <c r="V240" t="str">
        <v>Permanent</v>
      </c>
      <c r="W240" t="str">
        <v>Auckland, New Zealand</v>
      </c>
      <c r="X240">
        <v>4.9917808219178079</v>
      </c>
      <c r="Y240" t="str">
        <v>Full time</v>
      </c>
    </row>
    <row r="241" spans="13:25" x14ac:dyDescent="0.25">
      <c r="M241" t="str">
        <v>VT03500</v>
      </c>
      <c r="N241" t="str">
        <v>Shiuli</v>
      </c>
      <c r="O241" t="str">
        <v>Sapna</v>
      </c>
      <c r="P241" t="str">
        <v>Male</v>
      </c>
      <c r="Q241" t="str">
        <v>Support</v>
      </c>
      <c r="R241">
        <v>37062.1</v>
      </c>
      <c r="S241" t="str">
        <v>Under 50k</v>
      </c>
      <c r="T241">
        <v>44357</v>
      </c>
      <c r="U241">
        <v>1</v>
      </c>
      <c r="V241" t="str">
        <v>Temporary</v>
      </c>
      <c r="W241" t="str">
        <v>Chennai, India</v>
      </c>
      <c r="X241">
        <v>3.032876712328767</v>
      </c>
      <c r="Y241" t="str">
        <v>Full time</v>
      </c>
    </row>
    <row r="242" spans="13:25" x14ac:dyDescent="0.25">
      <c r="M242" t="str">
        <v>PR03137</v>
      </c>
      <c r="N242" t="str">
        <v>Jagajeet</v>
      </c>
      <c r="O242" t="str">
        <v>Viraj</v>
      </c>
      <c r="P242" t="str">
        <v>Male</v>
      </c>
      <c r="Q242" t="str">
        <v>Support</v>
      </c>
      <c r="R242">
        <v>36714.379999999997</v>
      </c>
      <c r="S242" t="str">
        <v>Under 50k</v>
      </c>
      <c r="T242">
        <v>44175</v>
      </c>
      <c r="U242">
        <v>1</v>
      </c>
      <c r="V242" t="str">
        <v>Permanent</v>
      </c>
      <c r="W242" t="str">
        <v>Chennai, India</v>
      </c>
      <c r="X242">
        <v>3.5315068493150683</v>
      </c>
      <c r="Y242" t="str">
        <v>Full time</v>
      </c>
    </row>
    <row r="243" spans="13:25" x14ac:dyDescent="0.25">
      <c r="M243" t="str">
        <v>PR01956</v>
      </c>
      <c r="N243" t="str">
        <v>Jamesy</v>
      </c>
      <c r="O243" t="str">
        <v>O'Ferris</v>
      </c>
      <c r="P243" t="str">
        <v>Male</v>
      </c>
      <c r="Q243" t="str">
        <v>Accounting</v>
      </c>
      <c r="R243">
        <v>36547.58</v>
      </c>
      <c r="S243" t="str">
        <v>Under 50k</v>
      </c>
      <c r="T243">
        <v>43416</v>
      </c>
      <c r="U243">
        <v>1</v>
      </c>
      <c r="V243" t="str">
        <v>Permanent</v>
      </c>
      <c r="W243" t="str">
        <v>Remote</v>
      </c>
      <c r="X243">
        <v>5.6109589041095891</v>
      </c>
      <c r="Y243" t="str">
        <v>Full time</v>
      </c>
    </row>
    <row r="244" spans="13:25" x14ac:dyDescent="0.25">
      <c r="M244" t="str">
        <v>PR01956</v>
      </c>
      <c r="N244" t="str">
        <v>Jamesy</v>
      </c>
      <c r="O244" t="str">
        <v>O'Ferris</v>
      </c>
      <c r="P244" t="str">
        <v>Male</v>
      </c>
      <c r="Q244" t="str">
        <v>Accounting</v>
      </c>
      <c r="R244">
        <v>36547.58</v>
      </c>
      <c r="S244" t="str">
        <v>Under 50k</v>
      </c>
      <c r="T244">
        <v>43416</v>
      </c>
      <c r="U244">
        <v>1</v>
      </c>
      <c r="V244" t="str">
        <v>Permanent</v>
      </c>
      <c r="W244" t="str">
        <v>Remote</v>
      </c>
      <c r="X244">
        <v>5.6109589041095891</v>
      </c>
      <c r="Y244" t="str">
        <v>Full time</v>
      </c>
    </row>
    <row r="245" spans="13:25" x14ac:dyDescent="0.25">
      <c r="M245" t="str">
        <v>VT03552</v>
      </c>
      <c r="N245" t="str">
        <v>Kamalakshi</v>
      </c>
      <c r="O245" t="str">
        <v>Mukundan</v>
      </c>
      <c r="P245" t="str">
        <v>Male</v>
      </c>
      <c r="Q245" t="str">
        <v>Engineering</v>
      </c>
      <c r="R245">
        <v>36536.26</v>
      </c>
      <c r="S245" t="str">
        <v>Under 50k</v>
      </c>
      <c r="T245">
        <v>44358</v>
      </c>
      <c r="U245">
        <v>1</v>
      </c>
      <c r="V245" t="str">
        <v>Temporary</v>
      </c>
      <c r="W245" t="str">
        <v>Hyderabad, India</v>
      </c>
      <c r="X245">
        <v>3.0301369863013701</v>
      </c>
      <c r="Y245" t="str">
        <v>Full time</v>
      </c>
    </row>
    <row r="246" spans="13:25" x14ac:dyDescent="0.25">
      <c r="M246" t="str">
        <v>PR03844</v>
      </c>
      <c r="N246" t="str">
        <v>Brose</v>
      </c>
      <c r="O246" t="str">
        <v>MacCorkell</v>
      </c>
      <c r="P246" t="str">
        <v>Female</v>
      </c>
      <c r="Q246" t="str">
        <v>Human Resources</v>
      </c>
      <c r="R246">
        <v>35943.620000000003</v>
      </c>
      <c r="S246" t="str">
        <v>Under 50k</v>
      </c>
      <c r="T246">
        <v>44078</v>
      </c>
      <c r="U246">
        <v>1</v>
      </c>
      <c r="V246" t="str">
        <v>Permanent</v>
      </c>
      <c r="W246" t="str">
        <v>Columbus, USA</v>
      </c>
      <c r="X246">
        <v>3.7972602739726029</v>
      </c>
      <c r="Y246" t="str">
        <v>Full time</v>
      </c>
    </row>
    <row r="247" spans="13:25" x14ac:dyDescent="0.25">
      <c r="M247" t="str">
        <v>PR01055</v>
      </c>
      <c r="N247" t="str">
        <v>Devasree</v>
      </c>
      <c r="O247" t="str">
        <v>Fullara</v>
      </c>
      <c r="P247" t="str">
        <v>Male</v>
      </c>
      <c r="Q247" t="str">
        <v>Accounting</v>
      </c>
      <c r="R247">
        <v>35936.31</v>
      </c>
      <c r="S247" t="str">
        <v>Under 50k</v>
      </c>
      <c r="T247">
        <v>43241</v>
      </c>
      <c r="U247">
        <v>1</v>
      </c>
      <c r="V247" t="str">
        <v>Permanent</v>
      </c>
      <c r="W247" t="str">
        <v>Chennai, India</v>
      </c>
      <c r="X247">
        <v>6.0904109589041093</v>
      </c>
      <c r="Y247" t="str">
        <v>Full time</v>
      </c>
    </row>
    <row r="248" spans="13:25" x14ac:dyDescent="0.25">
      <c r="M248" t="str">
        <v>TN02798</v>
      </c>
      <c r="N248" t="str">
        <v>Krittika</v>
      </c>
      <c r="O248" t="str">
        <v>Gaekwad</v>
      </c>
      <c r="P248" t="str">
        <v>Female</v>
      </c>
      <c r="Q248" t="str">
        <v>Business Development</v>
      </c>
      <c r="R248">
        <v>33031.26</v>
      </c>
      <c r="S248" t="str">
        <v>Under 50k</v>
      </c>
      <c r="T248">
        <v>43468</v>
      </c>
      <c r="U248">
        <v>0.4</v>
      </c>
      <c r="V248" t="str">
        <v>Permanent</v>
      </c>
      <c r="W248" t="str">
        <v>Hyderabad, India</v>
      </c>
      <c r="X248">
        <v>5.4684931506849317</v>
      </c>
      <c r="Y248" t="str">
        <v>Part time</v>
      </c>
    </row>
    <row r="249" spans="13:25" x14ac:dyDescent="0.25">
      <c r="M249" t="str">
        <v>VT02532</v>
      </c>
      <c r="N249" t="str">
        <v>Adey</v>
      </c>
      <c r="O249" t="str">
        <v>Ryal</v>
      </c>
      <c r="P249" t="str">
        <v>Female</v>
      </c>
      <c r="Q249" t="str">
        <v>Legal</v>
      </c>
      <c r="R249">
        <v>32496.880000000001</v>
      </c>
      <c r="S249" t="str">
        <v>Under 50k</v>
      </c>
      <c r="T249">
        <v>43234</v>
      </c>
      <c r="U249">
        <v>1</v>
      </c>
      <c r="V249" t="str">
        <v>Temporary</v>
      </c>
      <c r="W249" t="str">
        <v>Remote</v>
      </c>
      <c r="X249">
        <v>6.1095890410958908</v>
      </c>
      <c r="Y249" t="str">
        <v>Full time</v>
      </c>
    </row>
    <row r="250" spans="13:25" x14ac:dyDescent="0.25">
      <c r="M250" t="str">
        <v>SQ01730</v>
      </c>
      <c r="N250" t="str">
        <v>Austine</v>
      </c>
      <c r="O250" t="str">
        <v>Littlewood</v>
      </c>
      <c r="P250" t="str">
        <v>Female</v>
      </c>
      <c r="Q250" t="str">
        <v>Services</v>
      </c>
      <c r="R250">
        <v>32269.91</v>
      </c>
      <c r="S250" t="str">
        <v>Under 50k</v>
      </c>
      <c r="T250">
        <v>43346</v>
      </c>
      <c r="U250">
        <v>1</v>
      </c>
      <c r="V250" t="str">
        <v>Permanent</v>
      </c>
      <c r="W250" t="str">
        <v>Remote</v>
      </c>
      <c r="X250">
        <v>5.8027397260273972</v>
      </c>
      <c r="Y250" t="str">
        <v>Full time</v>
      </c>
    </row>
    <row r="251" spans="13:25" x14ac:dyDescent="0.25">
      <c r="M251" t="str">
        <v>PR03034</v>
      </c>
      <c r="N251" t="str">
        <v>Sreenivasa</v>
      </c>
      <c r="O251" t="str">
        <v>Naik</v>
      </c>
      <c r="P251" t="str">
        <v>Male</v>
      </c>
      <c r="Q251" t="str">
        <v>Sales</v>
      </c>
      <c r="R251">
        <v>32192.15</v>
      </c>
      <c r="S251" t="str">
        <v>Under 50k</v>
      </c>
      <c r="T251">
        <v>44473</v>
      </c>
      <c r="U251">
        <v>1</v>
      </c>
      <c r="V251" t="str">
        <v>Permanent</v>
      </c>
      <c r="W251" t="str">
        <v>Hyderabad, India</v>
      </c>
      <c r="X251">
        <v>2.7150684931506848</v>
      </c>
      <c r="Y251" t="str">
        <v>Full time</v>
      </c>
    </row>
    <row r="252" spans="13:25" x14ac:dyDescent="0.25">
      <c r="M252" t="str">
        <v>TN03097</v>
      </c>
      <c r="N252" t="str">
        <v>Bendite</v>
      </c>
      <c r="O252" t="str">
        <v>Bloan</v>
      </c>
      <c r="P252" t="str">
        <v>Male</v>
      </c>
      <c r="Q252" t="str">
        <v>Marketing</v>
      </c>
      <c r="R252">
        <v>31816.57</v>
      </c>
      <c r="S252" t="str">
        <v>Under 50k</v>
      </c>
      <c r="T252">
        <v>43497</v>
      </c>
      <c r="U252">
        <v>0.3</v>
      </c>
      <c r="V252" t="str">
        <v>Fixed Term</v>
      </c>
      <c r="W252" t="str">
        <v>Remote</v>
      </c>
      <c r="X252">
        <v>5.3890410958904109</v>
      </c>
      <c r="Y252" t="str">
        <v>Part time</v>
      </c>
    </row>
    <row r="253" spans="13:25" x14ac:dyDescent="0.25">
      <c r="M253" t="str">
        <v>SQ01829</v>
      </c>
      <c r="N253" t="str">
        <v>Mabel</v>
      </c>
      <c r="O253" t="str">
        <v>Orrow</v>
      </c>
      <c r="P253" t="str">
        <v>Male</v>
      </c>
      <c r="Q253" t="str">
        <v>Product Management</v>
      </c>
      <c r="R253">
        <v>31241.24</v>
      </c>
      <c r="S253" t="str">
        <v>Under 50k</v>
      </c>
      <c r="T253">
        <v>43725</v>
      </c>
      <c r="U253">
        <v>1</v>
      </c>
      <c r="V253" t="str">
        <v>Permanent</v>
      </c>
      <c r="W253" t="str">
        <v>Remote</v>
      </c>
      <c r="X253">
        <v>4.7643835616438359</v>
      </c>
      <c r="Y253" t="str">
        <v>Full time</v>
      </c>
    </row>
    <row r="254" spans="13:25" x14ac:dyDescent="0.25">
      <c r="M254" t="str">
        <v>VT01740</v>
      </c>
      <c r="N254" t="str">
        <v>Ginger</v>
      </c>
      <c r="O254" t="str">
        <v>Myott</v>
      </c>
      <c r="P254" t="str">
        <v>Female</v>
      </c>
      <c r="Q254" t="str">
        <v>Services</v>
      </c>
      <c r="R254">
        <v>31172.77</v>
      </c>
      <c r="S254" t="str">
        <v>Under 50k</v>
      </c>
      <c r="T254">
        <v>43665</v>
      </c>
      <c r="U254">
        <v>1</v>
      </c>
      <c r="V254" t="str">
        <v>Fixed Term</v>
      </c>
      <c r="W254" t="str">
        <v>Remote</v>
      </c>
      <c r="X254">
        <v>4.9287671232876713</v>
      </c>
      <c r="Y254" t="str">
        <v>Full time</v>
      </c>
    </row>
    <row r="255" spans="13:25" x14ac:dyDescent="0.25">
      <c r="M255" t="str">
        <v>TN04775</v>
      </c>
      <c r="N255" t="str">
        <v>Hridaynath</v>
      </c>
      <c r="O255" t="str">
        <v>Tendulkar</v>
      </c>
      <c r="P255" t="str">
        <v>Female</v>
      </c>
      <c r="Q255" t="str">
        <v>Legal</v>
      </c>
      <c r="R255">
        <v>31089.22</v>
      </c>
      <c r="S255" t="str">
        <v>Under 50k</v>
      </c>
      <c r="T255">
        <v>43776</v>
      </c>
      <c r="U255">
        <v>1</v>
      </c>
      <c r="V255" t="str">
        <v>Fixed Term</v>
      </c>
      <c r="W255" t="str">
        <v>Chennai, India</v>
      </c>
      <c r="X255">
        <v>4.624657534246575</v>
      </c>
      <c r="Y255" t="str">
        <v>Full time</v>
      </c>
    </row>
    <row r="256" spans="13:25" x14ac:dyDescent="0.25">
      <c r="M256" t="str">
        <v>VT01249</v>
      </c>
      <c r="N256" t="str">
        <v>Brendan</v>
      </c>
      <c r="O256" t="str">
        <v>Edgeller</v>
      </c>
      <c r="P256" t="str">
        <v>Female</v>
      </c>
      <c r="Q256" t="str">
        <v>Legal</v>
      </c>
      <c r="R256">
        <v>31042.51</v>
      </c>
      <c r="S256" t="str">
        <v>Under 50k</v>
      </c>
      <c r="T256">
        <v>44473</v>
      </c>
      <c r="U256">
        <v>0.3</v>
      </c>
      <c r="V256" t="str">
        <v>Fixed Term</v>
      </c>
      <c r="W256" t="str">
        <v>Remote</v>
      </c>
      <c r="X256">
        <v>2.7150684931506848</v>
      </c>
      <c r="Y256" t="str">
        <v>Part time</v>
      </c>
    </row>
    <row r="257" spans="13:25" x14ac:dyDescent="0.25">
      <c r="M257" t="str">
        <v>TN01396</v>
      </c>
      <c r="N257" t="str">
        <v>Koral</v>
      </c>
      <c r="O257" t="str">
        <v>Gerriet</v>
      </c>
      <c r="P257" t="str">
        <v>Male</v>
      </c>
      <c r="Q257" t="str">
        <v>Support</v>
      </c>
      <c r="R257">
        <v>30077.45</v>
      </c>
      <c r="S257" t="str">
        <v>Under 50k</v>
      </c>
      <c r="T257">
        <v>43474</v>
      </c>
      <c r="U257">
        <v>1</v>
      </c>
      <c r="V257" t="str">
        <v>Permanent</v>
      </c>
      <c r="W257" t="str">
        <v>Wellington, New Zealand</v>
      </c>
      <c r="X257">
        <v>5.4520547945205475</v>
      </c>
      <c r="Y257" t="str">
        <v>Full time</v>
      </c>
    </row>
    <row r="258" spans="13:25" x14ac:dyDescent="0.25">
      <c r="M258" t="str">
        <v>VT04905</v>
      </c>
      <c r="N258" t="str">
        <v>Suchira</v>
      </c>
      <c r="O258" t="str">
        <v>Bhanupriya</v>
      </c>
      <c r="P258" t="str">
        <v>Female</v>
      </c>
      <c r="Q258" t="str">
        <v>Human Resources</v>
      </c>
      <c r="R258">
        <v>29808.07</v>
      </c>
      <c r="S258" t="str">
        <v>Under 50k</v>
      </c>
      <c r="T258">
        <v>43291</v>
      </c>
      <c r="U258">
        <v>0.3</v>
      </c>
      <c r="V258" t="str">
        <v>Temporary</v>
      </c>
      <c r="W258" t="str">
        <v>Hyderabad, India</v>
      </c>
      <c r="X258">
        <v>5.9534246575342467</v>
      </c>
      <c r="Y258" t="str">
        <v>Part time</v>
      </c>
    </row>
    <row r="259" spans="13:25" x14ac:dyDescent="0.25">
      <c r="M259" t="str">
        <v>PR00770</v>
      </c>
      <c r="N259" t="str">
        <v>Beryl</v>
      </c>
      <c r="O259" t="str">
        <v>Burnsyde</v>
      </c>
      <c r="P259" t="str">
        <v>Male</v>
      </c>
      <c r="Q259" t="str">
        <v>Legal</v>
      </c>
      <c r="R259">
        <v>29774.76</v>
      </c>
      <c r="S259" t="str">
        <v>Under 50k</v>
      </c>
      <c r="T259">
        <v>44105</v>
      </c>
      <c r="U259">
        <v>1</v>
      </c>
      <c r="V259" t="str">
        <v>Permanent</v>
      </c>
      <c r="W259" t="str">
        <v>Wellington, New Zealand</v>
      </c>
      <c r="X259">
        <v>3.7232876712328768</v>
      </c>
      <c r="Y259" t="str">
        <v>Full time</v>
      </c>
    </row>
    <row r="260" spans="13:25" x14ac:dyDescent="0.25">
      <c r="M260" t="str">
        <v>TN02727</v>
      </c>
      <c r="N260" t="str">
        <v>Wald</v>
      </c>
      <c r="O260" t="str">
        <v>Bountiff</v>
      </c>
      <c r="P260" t="str">
        <v>Female</v>
      </c>
      <c r="Q260" t="str">
        <v>Support</v>
      </c>
      <c r="R260">
        <v>28974.03</v>
      </c>
      <c r="S260" t="str">
        <v>Under 50k</v>
      </c>
      <c r="T260">
        <v>43733</v>
      </c>
      <c r="U260">
        <v>1</v>
      </c>
      <c r="V260" t="str">
        <v>Permanent</v>
      </c>
      <c r="W260" t="str">
        <v>Auckland, New Zealand</v>
      </c>
      <c r="X260">
        <v>4.7424657534246579</v>
      </c>
      <c r="Y260" t="str">
        <v>Full time</v>
      </c>
    </row>
    <row r="261" spans="13:25" x14ac:dyDescent="0.25">
      <c r="M261" t="str">
        <v>TN01256</v>
      </c>
      <c r="N261" t="str">
        <v>Shattesh</v>
      </c>
      <c r="O261" t="str">
        <v>Utpat</v>
      </c>
      <c r="P261" t="str">
        <v>Male</v>
      </c>
      <c r="Q261" t="str">
        <v>Legal</v>
      </c>
      <c r="R261">
        <v>28481.16</v>
      </c>
      <c r="S261" t="str">
        <v>Under 50k</v>
      </c>
      <c r="T261">
        <v>43916</v>
      </c>
      <c r="U261">
        <v>1</v>
      </c>
      <c r="V261" t="str">
        <v>Permanent</v>
      </c>
      <c r="W261" t="str">
        <v>Hyderabad, India</v>
      </c>
      <c r="X261">
        <v>4.2410958904109588</v>
      </c>
      <c r="Y261" t="str">
        <v>Full time</v>
      </c>
    </row>
    <row r="262" spans="13:25" x14ac:dyDescent="0.25">
      <c r="M262" t="str">
        <v>TN01256</v>
      </c>
      <c r="N262" t="str">
        <v>Sawini</v>
      </c>
      <c r="O262" t="str">
        <v>Chandan</v>
      </c>
      <c r="P262" t="str">
        <v>Male</v>
      </c>
      <c r="Q262" t="str">
        <v>Legal</v>
      </c>
      <c r="R262">
        <v>28481.16</v>
      </c>
      <c r="S262" t="str">
        <v>Under 50k</v>
      </c>
      <c r="T262">
        <v>43916</v>
      </c>
      <c r="U262">
        <v>1</v>
      </c>
      <c r="V262" t="str">
        <v>Permanent</v>
      </c>
      <c r="W262" t="str">
        <v>Hyderabad, India</v>
      </c>
      <c r="X262">
        <v>4.2410958904109588</v>
      </c>
      <c r="Y262" t="str">
        <v>Full time</v>
      </c>
    </row>
    <row r="263" spans="13:25" x14ac:dyDescent="0.25">
      <c r="M263" t="str">
        <v>VT02663</v>
      </c>
      <c r="N263" t="str">
        <v>Sravanthi</v>
      </c>
      <c r="O263" t="str">
        <v>Chalaki</v>
      </c>
      <c r="P263" t="str">
        <v>Male</v>
      </c>
      <c r="Q263" t="str">
        <v>Legal</v>
      </c>
      <c r="R263">
        <v>28481.16</v>
      </c>
      <c r="S263" t="str">
        <v>Under 50k</v>
      </c>
      <c r="T263">
        <v>44228</v>
      </c>
      <c r="U263">
        <v>1</v>
      </c>
      <c r="V263" t="str">
        <v>Temporary</v>
      </c>
      <c r="W263" t="str">
        <v>Chennai, India</v>
      </c>
      <c r="X263">
        <v>3.3863013698630136</v>
      </c>
      <c r="Y263" t="str">
        <v>Full time</v>
      </c>
    </row>
    <row r="264" spans="13:25" x14ac:dyDescent="0.25">
      <c r="M264" t="str">
        <v>TN02397</v>
      </c>
      <c r="N264" t="str">
        <v>Mendel</v>
      </c>
      <c r="O264" t="str">
        <v>Gentsch</v>
      </c>
      <c r="P264" t="str">
        <v>Male</v>
      </c>
      <c r="Q264" t="str">
        <v>Human Resources</v>
      </c>
      <c r="R264">
        <v>28329.77</v>
      </c>
      <c r="S264" t="str">
        <v>Under 50k</v>
      </c>
      <c r="T264">
        <v>43402</v>
      </c>
      <c r="U264">
        <v>1</v>
      </c>
      <c r="V264" t="str">
        <v>Permanent</v>
      </c>
      <c r="W264" t="str">
        <v>Seattle, USA</v>
      </c>
      <c r="X264">
        <v>5.6493150684931503</v>
      </c>
      <c r="Y264" t="str">
        <v>Full time</v>
      </c>
    </row>
    <row r="265" spans="13:25" x14ac:dyDescent="0.25">
      <c r="M265" t="str">
        <v>SQ04437</v>
      </c>
      <c r="N265" t="str">
        <v>Hephzibah</v>
      </c>
      <c r="O265" t="str">
        <v>Summerell</v>
      </c>
      <c r="P265" t="str">
        <v>Female</v>
      </c>
      <c r="Q265" t="str">
        <v>Services</v>
      </c>
      <c r="R265">
        <v>28305.08</v>
      </c>
      <c r="S265" t="str">
        <v>Under 50k</v>
      </c>
      <c r="T265">
        <v>43754</v>
      </c>
      <c r="U265">
        <v>1</v>
      </c>
      <c r="V265" t="str">
        <v>Permanent</v>
      </c>
      <c r="W265" t="str">
        <v>Remote</v>
      </c>
      <c r="X265">
        <v>4.6849315068493151</v>
      </c>
      <c r="Y265" t="str">
        <v>Full time</v>
      </c>
    </row>
    <row r="266" spans="13:25" x14ac:dyDescent="0.25">
      <c r="M266" t="str">
        <v>VT04373</v>
      </c>
      <c r="N266" t="str">
        <v>Edi</v>
      </c>
      <c r="O266" t="str">
        <v>Hofton</v>
      </c>
      <c r="P266" t="str">
        <v>Male</v>
      </c>
      <c r="Q266" t="str">
        <v>Research and Development</v>
      </c>
      <c r="R266">
        <v>28160.79</v>
      </c>
      <c r="S266" t="str">
        <v>Under 50k</v>
      </c>
      <c r="T266">
        <v>43129</v>
      </c>
      <c r="U266">
        <v>1</v>
      </c>
      <c r="V266" t="str">
        <v>Temporary</v>
      </c>
      <c r="W266" t="str">
        <v>Remote</v>
      </c>
      <c r="X266">
        <v>6.397260273972603</v>
      </c>
      <c r="Y266" t="str">
        <v>Full time</v>
      </c>
    </row>
  </sheetData>
  <autoFilter ref="M6:Y266" xr:uid="{FFF4A5C8-6C93-444A-8F37-15B957886A99}"/>
  <conditionalFormatting sqref="E8:E20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{38DAFB7C-AF28-408B-8048-932C5482F4AC}</x14:id>
        </ext>
      </extLst>
    </cfRule>
    <cfRule type="cellIs" dxfId="0" priority="2" operator="greaterThan">
      <formula>" $301 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DAFB7C-AF28-408B-8048-932C5482F4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Data</vt:lpstr>
      <vt:lpstr>Q1 SumIf CountIfs</vt:lpstr>
      <vt:lpstr>Q2 Large,Filter, Take, Sort</vt:lpstr>
      <vt:lpstr>Q3 Filter</vt:lpstr>
      <vt:lpstr>Q4 Min, Max, Sort+Take</vt:lpstr>
      <vt:lpstr>Q5 Unique CountA</vt:lpstr>
      <vt:lpstr>Q6 Vlookup INDEX</vt:lpstr>
      <vt:lpstr>Q8,Q9 XLOOKUP MAX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SANT KUMAR</cp:lastModifiedBy>
  <cp:lastPrinted>2026-10-04T05:57:02Z</cp:lastPrinted>
  <dcterms:created xsi:type="dcterms:W3CDTF">2021-03-14T20:21:32Z</dcterms:created>
  <dcterms:modified xsi:type="dcterms:W3CDTF">2026-10-05T16:00:44Z</dcterms:modified>
</cp:coreProperties>
</file>